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d.docs.live.net/945b0fd35d2b841d/Documentos/Curso Excel/"/>
    </mc:Choice>
  </mc:AlternateContent>
  <xr:revisionPtr revIDLastSave="1527" documentId="13_ncr:1_{700D1630-D029-49B5-AF94-788B97EDF480}" xr6:coauthVersionLast="47" xr6:coauthVersionMax="47" xr10:uidLastSave="{6D238772-195C-47E4-AFA0-ADDC47F445EA}"/>
  <bookViews>
    <workbookView xWindow="-108" yWindow="-108" windowWidth="23256" windowHeight="12456" tabRatio="853" activeTab="1" xr2:uid="{F6D97A53-F63B-4272-A181-44B26E0B790F}"/>
  </bookViews>
  <sheets>
    <sheet name="Menu" sheetId="25" r:id="rId1"/>
    <sheet name="Dashboard " sheetId="43" r:id="rId2"/>
    <sheet name="Produtos" sheetId="17" r:id="rId3"/>
    <sheet name="Vendedores" sheetId="28" r:id="rId4"/>
    <sheet name="Vendas" sheetId="16" r:id="rId5"/>
    <sheet name="Cadastros Auxiliares" sheetId="23" r:id="rId6"/>
    <sheet name="Vendas Histórico" sheetId="42" r:id="rId7"/>
    <sheet name="TBDN_Vendas Histórico" sheetId="44" r:id="rId8"/>
  </sheets>
  <definedNames>
    <definedName name="_xlnm._FilterDatabase" localSheetId="4" hidden="1">Vendas!$B$4:$E$86</definedName>
    <definedName name="_xlcn.WorksheetConnection_CópiadeMeteoraEcommercePLANILHAINICIAL.xlsxTB_Produtos1" hidden="1">TB_Produtos[]</definedName>
    <definedName name="_xlcn.WorksheetConnection_CópiadeMeteoraEcommercePLANILHAINICIAL.xlsxVendas1" hidden="1">Vendas[]</definedName>
    <definedName name="_xlcn.WorksheetConnection_VendedoresA4D91" hidden="1">Vendedores!$A$4:$D$9</definedName>
    <definedName name="DadosExternos_1" localSheetId="6" hidden="1">'Vendas Histórico'!$A$1:$J$253</definedName>
    <definedName name="Desc_Categoria">'Cadastros Auxiliares'!$B$8:$E$8</definedName>
    <definedName name="Desc_Qtde">'Cadastros Auxiliares'!$B$8:$B$13</definedName>
    <definedName name="Desc_Tabela">'Cadastros Auxiliares'!$B$8:$E$13</definedName>
    <definedName name="Desc_TabelaTotal">'Cadastros Auxiliares'!$B$8:$E$13</definedName>
    <definedName name="Int_Nome_Produtos">#REF!</definedName>
    <definedName name="Int_Quantidade">#REF!</definedName>
    <definedName name="SegmentaçãodeDados_Data__Ano">#N/A</definedName>
    <definedName name="SegmentaçãodeDados_Mês">#N/A</definedName>
    <definedName name="Vendas_Historico">Vendas[#All]</definedName>
  </definedNames>
  <calcPr calcId="191029"/>
  <pivotCaches>
    <pivotCache cacheId="27" r:id="rId9"/>
    <pivotCache cacheId="30" r:id="rId10"/>
  </pivotCaches>
  <extLst>
    <ext xmlns:x14="http://schemas.microsoft.com/office/spreadsheetml/2009/9/main" uri="{876F7934-8845-4945-9796-88D515C7AA90}">
      <x14:pivotCaches>
        <pivotCache cacheId="9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Vendedores!$A$4:$D$9"/>
          <x15:modelTable id="Vendas" name="Vendas" connection="WorksheetConnection_Cópia de Meteora Ecommerce - PLANILHA INICIAL.xlsx!Vendas"/>
          <x15:modelTable id="TB_Produtos" name="TB_Produtos" connection="WorksheetConnection_Cópia de Meteora Ecommerce - PLANILHA INICIAL.xlsx!TB_Produtos"/>
        </x15:modelTables>
        <x15:modelRelationships>
          <x15:modelRelationship fromTable="Vendas" fromColumn="Código" toTable="TB_Produtos" toColumn="Código"/>
          <x15:modelRelationship fromTable="Vendas" fromColumn="Vendedor" toTable="Intervalo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Vendas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2" l="1"/>
  <c r="B3" i="42"/>
  <c r="B4" i="42"/>
  <c r="B5" i="42"/>
  <c r="B6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B61" i="42"/>
  <c r="B62" i="42"/>
  <c r="B63" i="42"/>
  <c r="B64" i="42"/>
  <c r="B65" i="42"/>
  <c r="B66" i="42"/>
  <c r="B67" i="42"/>
  <c r="B68" i="42"/>
  <c r="B69" i="42"/>
  <c r="B70" i="42"/>
  <c r="B71" i="42"/>
  <c r="B72" i="42"/>
  <c r="B73" i="42"/>
  <c r="B74" i="42"/>
  <c r="B75" i="42"/>
  <c r="B76" i="42"/>
  <c r="B77" i="42"/>
  <c r="B78" i="42"/>
  <c r="B79" i="42"/>
  <c r="B80" i="42"/>
  <c r="B81" i="42"/>
  <c r="B82" i="42"/>
  <c r="B83" i="42"/>
  <c r="B84" i="42"/>
  <c r="B85" i="42"/>
  <c r="B86" i="42"/>
  <c r="B87" i="42"/>
  <c r="B88" i="42"/>
  <c r="B89" i="42"/>
  <c r="B90" i="42"/>
  <c r="B91" i="42"/>
  <c r="B92" i="42"/>
  <c r="B93" i="42"/>
  <c r="B94" i="42"/>
  <c r="B95" i="42"/>
  <c r="B96" i="42"/>
  <c r="B97" i="42"/>
  <c r="B98" i="42"/>
  <c r="B99" i="42"/>
  <c r="B100" i="42"/>
  <c r="B101" i="42"/>
  <c r="B102" i="42"/>
  <c r="B103" i="42"/>
  <c r="B104" i="42"/>
  <c r="B105" i="42"/>
  <c r="B106" i="42"/>
  <c r="B107" i="42"/>
  <c r="B108" i="42"/>
  <c r="B109" i="42"/>
  <c r="B110" i="42"/>
  <c r="B111" i="42"/>
  <c r="B112" i="42"/>
  <c r="B113" i="42"/>
  <c r="B114" i="42"/>
  <c r="B115" i="42"/>
  <c r="B116" i="42"/>
  <c r="B117" i="42"/>
  <c r="B118" i="42"/>
  <c r="B119" i="42"/>
  <c r="B120" i="42"/>
  <c r="B121" i="42"/>
  <c r="B122" i="42"/>
  <c r="B123" i="42"/>
  <c r="B124" i="42"/>
  <c r="B125" i="42"/>
  <c r="B126" i="42"/>
  <c r="B127" i="42"/>
  <c r="B128" i="42"/>
  <c r="B129" i="42"/>
  <c r="B130" i="42"/>
  <c r="B131" i="42"/>
  <c r="B132" i="42"/>
  <c r="B133" i="42"/>
  <c r="B134" i="42"/>
  <c r="B135" i="42"/>
  <c r="B136" i="42"/>
  <c r="B137" i="42"/>
  <c r="B138" i="42"/>
  <c r="B139" i="42"/>
  <c r="B140" i="42"/>
  <c r="B141" i="42"/>
  <c r="B142" i="42"/>
  <c r="B143" i="42"/>
  <c r="B144" i="42"/>
  <c r="B145" i="42"/>
  <c r="B146" i="42"/>
  <c r="B147" i="42"/>
  <c r="B148" i="42"/>
  <c r="B149" i="42"/>
  <c r="B150" i="42"/>
  <c r="B151" i="42"/>
  <c r="B152" i="42"/>
  <c r="B153" i="42"/>
  <c r="B154" i="42"/>
  <c r="B155" i="42"/>
  <c r="B156" i="42"/>
  <c r="B157" i="42"/>
  <c r="B158" i="42"/>
  <c r="B159" i="42"/>
  <c r="B160" i="42"/>
  <c r="B161" i="42"/>
  <c r="B162" i="42"/>
  <c r="B163" i="42"/>
  <c r="B164" i="42"/>
  <c r="B165" i="42"/>
  <c r="B166" i="42"/>
  <c r="B167" i="42"/>
  <c r="B168" i="42"/>
  <c r="B169" i="42"/>
  <c r="B170" i="42"/>
  <c r="B171" i="42"/>
  <c r="B172" i="42"/>
  <c r="B173" i="42"/>
  <c r="B174" i="42"/>
  <c r="B175" i="42"/>
  <c r="B176" i="42"/>
  <c r="B177" i="42"/>
  <c r="B178" i="42"/>
  <c r="B179" i="42"/>
  <c r="B180" i="42"/>
  <c r="B181" i="42"/>
  <c r="B182" i="42"/>
  <c r="B183" i="42"/>
  <c r="B184" i="42"/>
  <c r="B185" i="42"/>
  <c r="B186" i="42"/>
  <c r="B187" i="42"/>
  <c r="B188" i="42"/>
  <c r="B189" i="42"/>
  <c r="B190" i="42"/>
  <c r="B191" i="42"/>
  <c r="B192" i="42"/>
  <c r="B193" i="42"/>
  <c r="B194" i="42"/>
  <c r="B195" i="42"/>
  <c r="B196" i="42"/>
  <c r="B197" i="42"/>
  <c r="B198" i="42"/>
  <c r="B199" i="42"/>
  <c r="B200" i="42"/>
  <c r="B201" i="42"/>
  <c r="B202" i="42"/>
  <c r="B203" i="42"/>
  <c r="B204" i="42"/>
  <c r="B205" i="42"/>
  <c r="B206" i="42"/>
  <c r="B207" i="42"/>
  <c r="B208" i="42"/>
  <c r="B209" i="42"/>
  <c r="B210" i="42"/>
  <c r="B211" i="42"/>
  <c r="B212" i="42"/>
  <c r="B213" i="42"/>
  <c r="B214" i="42"/>
  <c r="B215" i="42"/>
  <c r="B216" i="42"/>
  <c r="B217" i="42"/>
  <c r="B218" i="42"/>
  <c r="B219" i="42"/>
  <c r="B220" i="42"/>
  <c r="B221" i="42"/>
  <c r="B222" i="42"/>
  <c r="B223" i="42"/>
  <c r="B224" i="42"/>
  <c r="B225" i="42"/>
  <c r="B226" i="42"/>
  <c r="B227" i="42"/>
  <c r="B228" i="42"/>
  <c r="B229" i="42"/>
  <c r="B230" i="42"/>
  <c r="B231" i="42"/>
  <c r="B232" i="42"/>
  <c r="B233" i="42"/>
  <c r="B234" i="42"/>
  <c r="B235" i="42"/>
  <c r="B236" i="42"/>
  <c r="B237" i="42"/>
  <c r="B238" i="42"/>
  <c r="B239" i="42"/>
  <c r="B240" i="42"/>
  <c r="B241" i="42"/>
  <c r="B242" i="42"/>
  <c r="B243" i="42"/>
  <c r="B244" i="42"/>
  <c r="B245" i="42"/>
  <c r="B246" i="42"/>
  <c r="B247" i="42"/>
  <c r="B248" i="42"/>
  <c r="B249" i="42"/>
  <c r="B250" i="42"/>
  <c r="B251" i="42"/>
  <c r="B252" i="42"/>
  <c r="B253" i="42"/>
  <c r="D40" i="44" l="1"/>
  <c r="D39" i="44"/>
  <c r="D41" i="44" s="1"/>
  <c r="D38" i="44"/>
  <c r="D5" i="16" a="1"/>
  <c r="D5" i="16" s="1"/>
  <c r="G5" i="16" s="1"/>
  <c r="H5" i="16" s="1"/>
  <c r="D6" i="16" a="1"/>
  <c r="D6" i="16" s="1"/>
  <c r="G6" i="16" s="1"/>
  <c r="H6" i="16" s="1"/>
  <c r="D7" i="16" a="1"/>
  <c r="D7" i="16" s="1"/>
  <c r="G7" i="16" s="1"/>
  <c r="H7" i="16" s="1"/>
  <c r="D8" i="16" a="1"/>
  <c r="D8" i="16" s="1"/>
  <c r="G8" i="16" s="1"/>
  <c r="H8" i="16" s="1"/>
  <c r="D9" i="16" a="1"/>
  <c r="D9" i="16" s="1"/>
  <c r="G9" i="16" s="1"/>
  <c r="H9" i="16" s="1"/>
  <c r="D10" i="16" a="1"/>
  <c r="D10" i="16" s="1"/>
  <c r="G10" i="16" s="1"/>
  <c r="H10" i="16" s="1"/>
  <c r="D11" i="16" a="1"/>
  <c r="D11" i="16" s="1"/>
  <c r="G11" i="16" s="1"/>
  <c r="H11" i="16" s="1"/>
  <c r="D12" i="16" a="1"/>
  <c r="D12" i="16" s="1"/>
  <c r="G12" i="16" s="1"/>
  <c r="H12" i="16" s="1"/>
  <c r="D13" i="16" a="1"/>
  <c r="D13" i="16" s="1"/>
  <c r="G13" i="16" s="1"/>
  <c r="H13" i="16" s="1"/>
  <c r="D14" i="16" a="1"/>
  <c r="D14" i="16" s="1"/>
  <c r="G14" i="16" s="1"/>
  <c r="H14" i="16" s="1"/>
  <c r="D15" i="16" a="1"/>
  <c r="D15" i="16" s="1"/>
  <c r="G15" i="16" s="1"/>
  <c r="H15" i="16" s="1"/>
  <c r="D16" i="16" a="1"/>
  <c r="D16" i="16" s="1"/>
  <c r="G16" i="16" s="1"/>
  <c r="H16" i="16" s="1"/>
  <c r="D17" i="16" a="1"/>
  <c r="D17" i="16" s="1"/>
  <c r="G17" i="16" s="1"/>
  <c r="H17" i="16" s="1"/>
  <c r="D18" i="16" a="1"/>
  <c r="D18" i="16"/>
  <c r="G18" i="16" s="1"/>
  <c r="H18" i="16" s="1"/>
  <c r="D19" i="16" a="1"/>
  <c r="D19" i="16" s="1"/>
  <c r="G19" i="16" s="1"/>
  <c r="H19" i="16" s="1"/>
  <c r="D20" i="16" a="1"/>
  <c r="D20" i="16" s="1"/>
  <c r="G20" i="16" s="1"/>
  <c r="H20" i="16" s="1"/>
  <c r="D21" i="16" a="1"/>
  <c r="D21" i="16" s="1"/>
  <c r="G21" i="16" s="1"/>
  <c r="H21" i="16" s="1"/>
  <c r="D22" i="16" a="1"/>
  <c r="D22" i="16" s="1"/>
  <c r="G22" i="16" s="1"/>
  <c r="H22" i="16" s="1"/>
  <c r="D23" i="16" a="1"/>
  <c r="D23" i="16" s="1"/>
  <c r="G23" i="16" s="1"/>
  <c r="H23" i="16" s="1"/>
  <c r="D24" i="16" a="1"/>
  <c r="D24" i="16"/>
  <c r="G24" i="16" s="1"/>
  <c r="H24" i="16" s="1"/>
  <c r="D25" i="16" a="1"/>
  <c r="D25" i="16" s="1"/>
  <c r="G25" i="16" s="1"/>
  <c r="H25" i="16" s="1"/>
  <c r="D26" i="16" a="1"/>
  <c r="D26" i="16" s="1"/>
  <c r="G26" i="16" s="1"/>
  <c r="H26" i="16" s="1"/>
  <c r="D27" i="16" a="1"/>
  <c r="D27" i="16" s="1"/>
  <c r="G27" i="16" s="1"/>
  <c r="H27" i="16" s="1"/>
  <c r="D28" i="16" a="1"/>
  <c r="D28" i="16" s="1"/>
  <c r="G28" i="16" s="1"/>
  <c r="H28" i="16" s="1"/>
  <c r="D29" i="16" a="1"/>
  <c r="D29" i="16" s="1"/>
  <c r="G29" i="16" s="1"/>
  <c r="H29" i="16" s="1"/>
  <c r="D30" i="16" a="1"/>
  <c r="D30" i="16" s="1"/>
  <c r="G30" i="16" s="1"/>
  <c r="H30" i="16" s="1"/>
  <c r="D31" i="16" a="1"/>
  <c r="D31" i="16" s="1"/>
  <c r="G31" i="16" s="1"/>
  <c r="H31" i="16" s="1"/>
  <c r="D32" i="16" a="1"/>
  <c r="D32" i="16"/>
  <c r="G32" i="16" s="1"/>
  <c r="H32" i="16" s="1"/>
  <c r="D33" i="16" a="1"/>
  <c r="D33" i="16" s="1"/>
  <c r="G33" i="16" s="1"/>
  <c r="H33" i="16" s="1"/>
  <c r="D34" i="16" a="1"/>
  <c r="D34" i="16" s="1"/>
  <c r="G34" i="16" s="1"/>
  <c r="H34" i="16" s="1"/>
  <c r="D35" i="16" a="1"/>
  <c r="D35" i="16" s="1"/>
  <c r="G35" i="16" s="1"/>
  <c r="H35" i="16" s="1"/>
  <c r="D36" i="16" a="1"/>
  <c r="D36" i="16" s="1"/>
  <c r="G36" i="16" s="1"/>
  <c r="H36" i="16" s="1"/>
  <c r="D37" i="16" a="1"/>
  <c r="D37" i="16" s="1"/>
  <c r="G37" i="16" s="1"/>
  <c r="H37" i="16" s="1"/>
  <c r="D38" i="16" a="1"/>
  <c r="D38" i="16" s="1"/>
  <c r="G38" i="16" s="1"/>
  <c r="H38" i="16" s="1"/>
  <c r="D39" i="16" a="1"/>
  <c r="D39" i="16" s="1"/>
  <c r="G39" i="16" s="1"/>
  <c r="H39" i="16" s="1"/>
  <c r="D40" i="16" a="1"/>
  <c r="D40" i="16" s="1"/>
  <c r="G40" i="16" s="1"/>
  <c r="H40" i="16" s="1"/>
  <c r="D41" i="16" a="1"/>
  <c r="D41" i="16" s="1"/>
  <c r="G41" i="16" s="1"/>
  <c r="H41" i="16" s="1"/>
  <c r="D42" i="16" a="1"/>
  <c r="D42" i="16" s="1"/>
  <c r="G42" i="16" s="1"/>
  <c r="H42" i="16" s="1"/>
  <c r="D43" i="16" a="1"/>
  <c r="D43" i="16" s="1"/>
  <c r="G43" i="16" s="1"/>
  <c r="H43" i="16" s="1"/>
  <c r="D44" i="16" a="1"/>
  <c r="D44" i="16" s="1"/>
  <c r="G44" i="16" s="1"/>
  <c r="H44" i="16" s="1"/>
  <c r="D45" i="16" a="1"/>
  <c r="D45" i="16" s="1"/>
  <c r="G45" i="16" s="1"/>
  <c r="H45" i="16" s="1"/>
  <c r="D46" i="16" a="1"/>
  <c r="D46" i="16" s="1"/>
  <c r="G46" i="16" s="1"/>
  <c r="H46" i="16" s="1"/>
  <c r="D47" i="16" a="1"/>
  <c r="D47" i="16" s="1"/>
  <c r="G47" i="16" s="1"/>
  <c r="H47" i="16" s="1"/>
  <c r="D48" i="16" a="1"/>
  <c r="D48" i="16" s="1"/>
  <c r="G48" i="16" s="1"/>
  <c r="H48" i="16" s="1"/>
  <c r="D49" i="16" a="1"/>
  <c r="D49" i="16" s="1"/>
  <c r="G49" i="16" s="1"/>
  <c r="H49" i="16" s="1"/>
  <c r="D50" i="16" a="1"/>
  <c r="D50" i="16" s="1"/>
  <c r="G50" i="16" s="1"/>
  <c r="H50" i="16" s="1"/>
  <c r="D51" i="16" a="1"/>
  <c r="D51" i="16" s="1"/>
  <c r="G51" i="16" s="1"/>
  <c r="H51" i="16" s="1"/>
  <c r="D52" i="16" a="1"/>
  <c r="D52" i="16" s="1"/>
  <c r="G52" i="16" s="1"/>
  <c r="H52" i="16" s="1"/>
  <c r="D53" i="16" a="1"/>
  <c r="D53" i="16" s="1"/>
  <c r="G53" i="16" s="1"/>
  <c r="H53" i="16" s="1"/>
  <c r="D54" i="16" a="1"/>
  <c r="D54" i="16" s="1"/>
  <c r="G54" i="16" s="1"/>
  <c r="H54" i="16" s="1"/>
  <c r="D55" i="16" a="1"/>
  <c r="D55" i="16" s="1"/>
  <c r="G55" i="16" s="1"/>
  <c r="H55" i="16" s="1"/>
  <c r="D56" i="16" a="1"/>
  <c r="D56" i="16" s="1"/>
  <c r="G56" i="16" s="1"/>
  <c r="H56" i="16" s="1"/>
  <c r="D57" i="16" a="1"/>
  <c r="D57" i="16" s="1"/>
  <c r="G57" i="16" s="1"/>
  <c r="H57" i="16" s="1"/>
  <c r="D58" i="16" a="1"/>
  <c r="D58" i="16"/>
  <c r="G58" i="16" s="1"/>
  <c r="H58" i="16" s="1"/>
  <c r="D59" i="16" a="1"/>
  <c r="D59" i="16" s="1"/>
  <c r="G59" i="16" s="1"/>
  <c r="H59" i="16" s="1"/>
  <c r="D60" i="16" a="1"/>
  <c r="D60" i="16" s="1"/>
  <c r="G60" i="16" s="1"/>
  <c r="H60" i="16" s="1"/>
  <c r="D61" i="16" a="1"/>
  <c r="D61" i="16" s="1"/>
  <c r="G61" i="16" s="1"/>
  <c r="H61" i="16" s="1"/>
  <c r="D62" i="16" a="1"/>
  <c r="D62" i="16" s="1"/>
  <c r="G62" i="16" s="1"/>
  <c r="H62" i="16" s="1"/>
  <c r="D63" i="16" a="1"/>
  <c r="D63" i="16" s="1"/>
  <c r="G63" i="16" s="1"/>
  <c r="H63" i="16" s="1"/>
  <c r="D64" i="16" a="1"/>
  <c r="D64" i="16" s="1"/>
  <c r="G64" i="16" s="1"/>
  <c r="H64" i="16" s="1"/>
  <c r="D65" i="16" a="1"/>
  <c r="D65" i="16" s="1"/>
  <c r="G65" i="16" s="1"/>
  <c r="H65" i="16" s="1"/>
  <c r="D66" i="16" a="1"/>
  <c r="D66" i="16" s="1"/>
  <c r="G66" i="16" s="1"/>
  <c r="H66" i="16" s="1"/>
  <c r="D67" i="16" a="1"/>
  <c r="D67" i="16" s="1"/>
  <c r="G67" i="16" s="1"/>
  <c r="H67" i="16" s="1"/>
  <c r="D68" i="16" a="1"/>
  <c r="D68" i="16" s="1"/>
  <c r="G68" i="16" s="1"/>
  <c r="H68" i="16" s="1"/>
  <c r="D69" i="16" a="1"/>
  <c r="D69" i="16" s="1"/>
  <c r="G69" i="16" s="1"/>
  <c r="H69" i="16" s="1"/>
  <c r="D70" i="16" a="1"/>
  <c r="D70" i="16" s="1"/>
  <c r="G70" i="16" s="1"/>
  <c r="H70" i="16" s="1"/>
  <c r="D71" i="16" a="1"/>
  <c r="D71" i="16" s="1"/>
  <c r="G71" i="16" s="1"/>
  <c r="H71" i="16" s="1"/>
  <c r="D72" i="16" a="1"/>
  <c r="D72" i="16" s="1"/>
  <c r="G72" i="16" s="1"/>
  <c r="H72" i="16" s="1"/>
  <c r="D73" i="16" a="1"/>
  <c r="D73" i="16" s="1"/>
  <c r="G73" i="16" s="1"/>
  <c r="H73" i="16" s="1"/>
  <c r="D74" i="16" a="1"/>
  <c r="D74" i="16" s="1"/>
  <c r="G74" i="16" s="1"/>
  <c r="H74" i="16" s="1"/>
  <c r="D75" i="16" a="1"/>
  <c r="D75" i="16" s="1"/>
  <c r="G75" i="16" s="1"/>
  <c r="H75" i="16" s="1"/>
  <c r="D76" i="16" a="1"/>
  <c r="D76" i="16" s="1"/>
  <c r="G76" i="16" s="1"/>
  <c r="H76" i="16" s="1"/>
  <c r="D77" i="16" a="1"/>
  <c r="D77" i="16" s="1"/>
  <c r="G77" i="16" s="1"/>
  <c r="H77" i="16" s="1"/>
  <c r="D78" i="16" a="1"/>
  <c r="D78" i="16" s="1"/>
  <c r="G78" i="16" s="1"/>
  <c r="H78" i="16" s="1"/>
  <c r="D79" i="16" a="1"/>
  <c r="D79" i="16" s="1"/>
  <c r="G79" i="16" s="1"/>
  <c r="H79" i="16" s="1"/>
  <c r="D80" i="16" a="1"/>
  <c r="D80" i="16" s="1"/>
  <c r="G80" i="16" s="1"/>
  <c r="H80" i="16" s="1"/>
  <c r="D81" i="16" a="1"/>
  <c r="D81" i="16" s="1"/>
  <c r="G81" i="16" s="1"/>
  <c r="H81" i="16" s="1"/>
  <c r="D82" i="16" a="1"/>
  <c r="D82" i="16"/>
  <c r="G82" i="16" s="1"/>
  <c r="H82" i="16" s="1"/>
  <c r="D83" i="16" a="1"/>
  <c r="D83" i="16" s="1"/>
  <c r="G83" i="16" s="1"/>
  <c r="H83" i="16" s="1"/>
  <c r="D84" i="16" a="1"/>
  <c r="D84" i="16" s="1"/>
  <c r="G84" i="16" s="1"/>
  <c r="H84" i="16" s="1"/>
  <c r="D85" i="16" a="1"/>
  <c r="D85" i="16" s="1"/>
  <c r="G85" i="16" s="1"/>
  <c r="H85" i="16" s="1"/>
  <c r="D86" i="16" a="1"/>
  <c r="D86" i="16" s="1"/>
  <c r="G86" i="16" s="1"/>
  <c r="H86" i="16" s="1"/>
  <c r="I5" i="16" a="1"/>
  <c r="I5" i="16" s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I6" i="16" a="1"/>
  <c r="I6" i="16" s="1"/>
  <c r="K6" i="16" s="1"/>
  <c r="I7" i="16" a="1"/>
  <c r="I7" i="16" s="1"/>
  <c r="I8" i="16" a="1"/>
  <c r="I8" i="16" s="1"/>
  <c r="K8" i="16" s="1"/>
  <c r="I9" i="16" a="1"/>
  <c r="I9" i="16" s="1"/>
  <c r="I10" i="16" a="1"/>
  <c r="I10" i="16" s="1"/>
  <c r="I11" i="16" a="1"/>
  <c r="I11" i="16" s="1"/>
  <c r="K11" i="16" s="1"/>
  <c r="I12" i="16" a="1"/>
  <c r="I12" i="16" s="1"/>
  <c r="K12" i="16" s="1"/>
  <c r="I13" i="16" a="1"/>
  <c r="I13" i="16" s="1"/>
  <c r="K13" i="16" s="1"/>
  <c r="I14" i="16" a="1"/>
  <c r="I14" i="16" s="1"/>
  <c r="K14" i="16" s="1"/>
  <c r="I15" i="16" a="1"/>
  <c r="I15" i="16" s="1"/>
  <c r="I16" i="16" a="1"/>
  <c r="I16" i="16" s="1"/>
  <c r="K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K22" i="16" s="1"/>
  <c r="I23" i="16" a="1"/>
  <c r="I23" i="16" s="1"/>
  <c r="I24" i="16" a="1"/>
  <c r="I24" i="16" s="1"/>
  <c r="K24" i="16" s="1"/>
  <c r="I25" i="16" a="1"/>
  <c r="I25" i="16" s="1"/>
  <c r="I26" i="16" a="1"/>
  <c r="I26" i="16" s="1"/>
  <c r="I27" i="16" a="1"/>
  <c r="I27" i="16" s="1"/>
  <c r="I28" i="16" a="1"/>
  <c r="I28" i="16" s="1"/>
  <c r="K28" i="16" s="1"/>
  <c r="I29" i="16" a="1"/>
  <c r="I29" i="16" s="1"/>
  <c r="K29" i="16" s="1"/>
  <c r="I30" i="16" a="1"/>
  <c r="I30" i="16" s="1"/>
  <c r="K30" i="16" s="1"/>
  <c r="I31" i="16" a="1"/>
  <c r="I31" i="16" s="1"/>
  <c r="I32" i="16" a="1"/>
  <c r="I32" i="16" s="1"/>
  <c r="K32" i="16" s="1"/>
  <c r="I33" i="16" a="1"/>
  <c r="I33" i="16" s="1"/>
  <c r="I34" i="16" a="1"/>
  <c r="I34" i="16" s="1"/>
  <c r="I35" i="16" a="1"/>
  <c r="I35" i="16" s="1"/>
  <c r="K35" i="16" s="1"/>
  <c r="I36" i="16" a="1"/>
  <c r="I36" i="16" s="1"/>
  <c r="I37" i="16" a="1"/>
  <c r="I37" i="16" s="1"/>
  <c r="K37" i="16" s="1"/>
  <c r="I38" i="16" a="1"/>
  <c r="I38" i="16" s="1"/>
  <c r="K38" i="16" s="1"/>
  <c r="I39" i="16" a="1"/>
  <c r="I39" i="16" s="1"/>
  <c r="I40" i="16" a="1"/>
  <c r="I40" i="16" s="1"/>
  <c r="K40" i="16" s="1"/>
  <c r="I41" i="16" a="1"/>
  <c r="I41" i="16" s="1"/>
  <c r="I42" i="16" a="1"/>
  <c r="I42" i="16" s="1"/>
  <c r="I43" i="16" a="1"/>
  <c r="I43" i="16" s="1"/>
  <c r="K43" i="16" s="1"/>
  <c r="I44" i="16" a="1"/>
  <c r="I44" i="16" s="1"/>
  <c r="I45" i="16" a="1"/>
  <c r="I45" i="16" s="1"/>
  <c r="K45" i="16" s="1"/>
  <c r="I46" i="16" a="1"/>
  <c r="I46" i="16" s="1"/>
  <c r="K46" i="16" s="1"/>
  <c r="I47" i="16" a="1"/>
  <c r="I47" i="16" s="1"/>
  <c r="I48" i="16" a="1"/>
  <c r="I48" i="16" s="1"/>
  <c r="K48" i="16" s="1"/>
  <c r="I49" i="16" a="1"/>
  <c r="I49" i="16" s="1"/>
  <c r="I50" i="16" a="1"/>
  <c r="I50" i="16" s="1"/>
  <c r="I51" i="16" a="1"/>
  <c r="I51" i="16" s="1"/>
  <c r="K51" i="16" s="1"/>
  <c r="I52" i="16" a="1"/>
  <c r="I52" i="16" s="1"/>
  <c r="I53" i="16" a="1"/>
  <c r="I53" i="16" s="1"/>
  <c r="K53" i="16" s="1"/>
  <c r="I54" i="16" a="1"/>
  <c r="I54" i="16" s="1"/>
  <c r="K54" i="16" s="1"/>
  <c r="I55" i="16" a="1"/>
  <c r="I55" i="16" s="1"/>
  <c r="I56" i="16" a="1"/>
  <c r="I56" i="16" s="1"/>
  <c r="K56" i="16" s="1"/>
  <c r="I57" i="16" a="1"/>
  <c r="I57" i="16" s="1"/>
  <c r="I58" i="16" a="1"/>
  <c r="I58" i="16" s="1"/>
  <c r="I59" i="16" a="1"/>
  <c r="I59" i="16" s="1"/>
  <c r="I60" i="16" a="1"/>
  <c r="I60" i="16" s="1"/>
  <c r="I61" i="16" a="1"/>
  <c r="I61" i="16" s="1"/>
  <c r="K61" i="16" s="1"/>
  <c r="I62" i="16" a="1"/>
  <c r="I62" i="16" s="1"/>
  <c r="K62" i="16" s="1"/>
  <c r="I63" i="16" a="1"/>
  <c r="I63" i="16" s="1"/>
  <c r="I64" i="16" a="1"/>
  <c r="I64" i="16" s="1"/>
  <c r="K64" i="16" s="1"/>
  <c r="I65" i="16" a="1"/>
  <c r="I65" i="16" s="1"/>
  <c r="I66" i="16" a="1"/>
  <c r="I66" i="16" s="1"/>
  <c r="I67" i="16" a="1"/>
  <c r="I67" i="16" s="1"/>
  <c r="I68" i="16" a="1"/>
  <c r="I68" i="16" s="1"/>
  <c r="I69" i="16" a="1"/>
  <c r="I69" i="16" s="1"/>
  <c r="K69" i="16" s="1"/>
  <c r="I70" i="16" a="1"/>
  <c r="I70" i="16" s="1"/>
  <c r="K70" i="16" s="1"/>
  <c r="I71" i="16" a="1"/>
  <c r="I71" i="16" s="1"/>
  <c r="I72" i="16" a="1"/>
  <c r="I72" i="16" s="1"/>
  <c r="K72" i="16" s="1"/>
  <c r="I73" i="16" a="1"/>
  <c r="I73" i="16" s="1"/>
  <c r="I74" i="16" a="1"/>
  <c r="I74" i="16" s="1"/>
  <c r="I75" i="16" a="1"/>
  <c r="I75" i="16" s="1"/>
  <c r="I76" i="16" a="1"/>
  <c r="I76" i="16" s="1"/>
  <c r="I77" i="16" a="1"/>
  <c r="I77" i="16" s="1"/>
  <c r="K77" i="16" s="1"/>
  <c r="I78" i="16" a="1"/>
  <c r="I78" i="16" s="1"/>
  <c r="K78" i="16" s="1"/>
  <c r="I79" i="16" a="1"/>
  <c r="I79" i="16" s="1"/>
  <c r="I80" i="16" a="1"/>
  <c r="I80" i="16" s="1"/>
  <c r="K80" i="16" s="1"/>
  <c r="I81" i="16" a="1"/>
  <c r="I81" i="16" s="1"/>
  <c r="I82" i="16" a="1"/>
  <c r="I82" i="16" s="1"/>
  <c r="I83" i="16" a="1"/>
  <c r="I83" i="16" s="1"/>
  <c r="I84" i="16" a="1"/>
  <c r="I84" i="16" s="1"/>
  <c r="I85" i="16" a="1"/>
  <c r="I85" i="16" s="1"/>
  <c r="K85" i="16" s="1"/>
  <c r="I86" i="16" a="1"/>
  <c r="I86" i="16" s="1"/>
  <c r="K86" i="16" s="1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B38" i="44" l="1"/>
  <c r="B41" i="44" s="1"/>
  <c r="B40" i="44"/>
  <c r="B39" i="44"/>
  <c r="K79" i="16"/>
  <c r="K71" i="16"/>
  <c r="K63" i="16"/>
  <c r="K55" i="16"/>
  <c r="K47" i="16"/>
  <c r="K39" i="16"/>
  <c r="K31" i="16"/>
  <c r="K23" i="16"/>
  <c r="K15" i="16"/>
  <c r="K7" i="16"/>
  <c r="K5" i="16"/>
  <c r="K21" i="16"/>
  <c r="K82" i="16"/>
  <c r="K74" i="16"/>
  <c r="K66" i="16"/>
  <c r="K58" i="16"/>
  <c r="K50" i="16"/>
  <c r="K42" i="16"/>
  <c r="K34" i="16"/>
  <c r="K26" i="16"/>
  <c r="K18" i="16"/>
  <c r="K10" i="16"/>
  <c r="K9" i="16"/>
  <c r="K84" i="16"/>
  <c r="K76" i="16"/>
  <c r="K68" i="16"/>
  <c r="K60" i="16"/>
  <c r="K52" i="16"/>
  <c r="K44" i="16"/>
  <c r="K36" i="16"/>
  <c r="K20" i="16"/>
  <c r="K81" i="16"/>
  <c r="K73" i="16"/>
  <c r="K65" i="16"/>
  <c r="K57" i="16"/>
  <c r="K49" i="16"/>
  <c r="K41" i="16"/>
  <c r="K33" i="16"/>
  <c r="K25" i="16"/>
  <c r="K17" i="16"/>
  <c r="K83" i="16"/>
  <c r="K75" i="16"/>
  <c r="K67" i="16"/>
  <c r="K59" i="16"/>
  <c r="K27" i="16"/>
  <c r="K19" i="16"/>
  <c r="L68" i="16"/>
  <c r="L76" i="16"/>
  <c r="A76" i="16"/>
  <c r="A77" i="16"/>
  <c r="A78" i="16"/>
  <c r="A79" i="16"/>
  <c r="A80" i="16"/>
  <c r="A81" i="16"/>
  <c r="A82" i="16"/>
  <c r="A83" i="16"/>
  <c r="A84" i="16"/>
  <c r="A85" i="16"/>
  <c r="A86" i="16"/>
  <c r="A65" i="16"/>
  <c r="A66" i="16"/>
  <c r="A67" i="16"/>
  <c r="A68" i="16"/>
  <c r="A69" i="16"/>
  <c r="A70" i="16"/>
  <c r="A71" i="16"/>
  <c r="A72" i="16"/>
  <c r="A73" i="16"/>
  <c r="A74" i="16"/>
  <c r="A75" i="16"/>
  <c r="A64" i="16"/>
  <c r="A5" i="16"/>
  <c r="C39" i="44" l="1"/>
  <c r="C40" i="44"/>
  <c r="C38" i="44"/>
  <c r="L83" i="16"/>
  <c r="L75" i="16"/>
  <c r="L73" i="16"/>
  <c r="L65" i="16"/>
  <c r="L64" i="16"/>
  <c r="L79" i="16"/>
  <c r="L71" i="16"/>
  <c r="L80" i="16"/>
  <c r="L72" i="16"/>
  <c r="L84" i="16"/>
  <c r="L67" i="16"/>
  <c r="L82" i="16"/>
  <c r="L74" i="16"/>
  <c r="L66" i="16"/>
  <c r="L86" i="16"/>
  <c r="L78" i="16"/>
  <c r="L70" i="16"/>
  <c r="L85" i="16"/>
  <c r="L77" i="16"/>
  <c r="L69" i="16"/>
  <c r="L81" i="16"/>
  <c r="L5" i="16" l="1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A23" i="16" l="1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E7F3A-5C79-4EE9-970A-7F3B3E3F92C5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  <connection id="2" xr16:uid="{D3358B2C-C7BB-49FA-975D-2612473E476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04D6551-C389-4564-9448-E7FC31C8EA82}" name="WorksheetConnection_Cópia de Meteora Ecommerce - PLANILHA INICIAL.xlsx!TB_Produtos" type="102" refreshedVersion="8" minRefreshableVersion="5">
    <extLst>
      <ext xmlns:x15="http://schemas.microsoft.com/office/spreadsheetml/2010/11/main" uri="{DE250136-89BD-433C-8126-D09CA5730AF9}">
        <x15:connection id="TB_Produtos">
          <x15:rangePr sourceName="_xlcn.WorksheetConnection_CópiadeMeteoraEcommercePLANILHAINICIAL.xlsxTB_Produtos1"/>
        </x15:connection>
      </ext>
    </extLst>
  </connection>
  <connection id="4" xr16:uid="{A83338AE-2BAC-4F3D-97B3-B281150295FB}" name="WorksheetConnection_Cópia de Meteora Ecommerce - PLANILHA INICIAL.xlsx!Vendas" type="102" refreshedVersion="8" minRefreshableVersion="5">
    <extLst>
      <ext xmlns:x15="http://schemas.microsoft.com/office/spreadsheetml/2010/11/main" uri="{DE250136-89BD-433C-8126-D09CA5730AF9}">
        <x15:connection id="Vendas">
          <x15:rangePr sourceName="_xlcn.WorksheetConnection_CópiadeMeteoraEcommercePLANILHAINICIAL.xlsxVendas1"/>
        </x15:connection>
      </ext>
    </extLst>
  </connection>
  <connection id="5" xr16:uid="{410B4B3A-55FC-4C00-8BE1-90138BF8EEC7}" name="WorksheetConnection_Vendedores!$A$4:$D$9" type="102" refreshedVersion="8" minRefreshableVersion="5">
    <extLst>
      <ext xmlns:x15="http://schemas.microsoft.com/office/spreadsheetml/2010/11/main" uri="{DE250136-89BD-433C-8126-D09CA5730AF9}">
        <x15:connection id="Intervalo">
          <x15:rangePr sourceName="_xlcn.WorksheetConnection_VendedoresA4D9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<sst xmlns="http://schemas.openxmlformats.org/spreadsheetml/2006/main" count="1512" uniqueCount="166">
  <si>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</si>
  <si>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</si>
  <si>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</si>
  <si>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</si>
  <si>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</si>
  <si>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</si>
  <si>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</si>
  <si>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</si>
  <si>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</si>
  <si>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</si>
  <si>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</si>
  <si>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</si>
  <si>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</si>
  <si>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</si>
  <si>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</si>
  <si>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</si>
  <si>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</si>
  <si>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</si>
  <si>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</si>
  <si>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</si>
  <si>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</si>
  <si>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</si>
  <si>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</si>
  <si>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</si>
  <si>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</si>
  <si>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</si>
  <si>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</si>
  <si>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</si>
  <si>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</si>
  <si>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</si>
  <si>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</si>
  <si>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</si>
  <si>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</si>
  <si>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</si>
  <si>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</si>
  <si>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</si>
  <si>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</si>
  <si>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</si>
  <si>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</si>
  <si>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</si>
  <si>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</si>
  <si>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</si>
  <si>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</si>
  <si>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</si>
  <si>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</si>
  <si>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</si>
  <si>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</si>
  <si>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</si>
  <si>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</si>
  <si>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</si>
  <si>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</si>
  <si>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</si>
  <si>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</si>
  <si>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</si>
  <si>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</si>
  <si>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</si>
  <si>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</si>
  <si>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</si>
  <si>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</si>
  <si>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</si>
  <si>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</si>
  <si>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</si>
  <si>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</si>
  <si>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</si>
  <si>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</si>
  <si>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</si>
  <si>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</si>
  <si>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</si>
  <si>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</si>
  <si>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</si>
  <si>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</si>
  <si>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</si>
  <si>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</si>
  <si>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</si>
  <si>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</si>
  <si>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</si>
  <si>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Vendas Mensais</t>
  </si>
  <si>
    <t>Vendas por Categoria</t>
  </si>
  <si>
    <t>Ranking Vendedores</t>
  </si>
  <si>
    <t>Jan</t>
  </si>
  <si>
    <t>Fev</t>
  </si>
  <si>
    <t>Mar</t>
  </si>
  <si>
    <t>Abr</t>
  </si>
  <si>
    <t>Mai</t>
  </si>
  <si>
    <t>Jun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</si>
  <si>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</si>
  <si>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</si>
  <si>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</si>
  <si>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</si>
  <si>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</si>
  <si>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</si>
  <si>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</si>
  <si>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</si>
  <si>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</si>
  <si>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</si>
  <si>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</si>
  <si>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</si>
  <si>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</si>
  <si>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</si>
  <si>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</si>
  <si>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</si>
  <si>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</si>
  <si>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</si>
  <si>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</si>
  <si>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</si>
  <si>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</si>
  <si>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</si>
  <si>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</si>
  <si>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</si>
  <si>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</si>
  <si>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</si>
  <si>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</si>
  <si>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</si>
  <si>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</si>
  <si>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</si>
  <si>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</si>
  <si>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</si>
  <si>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</si>
  <si>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</si>
  <si>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</si>
  <si>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</si>
  <si>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</si>
  <si>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</si>
  <si>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</si>
  <si>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</si>
  <si>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</si>
  <si>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</si>
  <si>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</si>
  <si>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</si>
  <si>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</si>
  <si>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</si>
  <si>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</si>
  <si>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</si>
  <si>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</si>
  <si>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</si>
  <si>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</si>
  <si>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</si>
  <si>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</si>
  <si>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</si>
  <si>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</si>
  <si>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</si>
  <si>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Estoque mínimo</t>
  </si>
  <si>
    <t>Desc_Vendedor</t>
  </si>
  <si>
    <t>Desc_Real</t>
  </si>
  <si>
    <t>Desc_Direto</t>
  </si>
  <si>
    <t>Índice</t>
  </si>
  <si>
    <t>Desc_Simples</t>
  </si>
  <si>
    <t>Rótulos de Linha</t>
  </si>
  <si>
    <t>Total Geral</t>
  </si>
  <si>
    <t>PR061</t>
  </si>
  <si>
    <t>BIQUINI</t>
  </si>
  <si>
    <t>ROUPA DE PRAIA</t>
  </si>
  <si>
    <t>Soma de Total</t>
  </si>
  <si>
    <t>Mês</t>
  </si>
  <si>
    <t>Desconto Final</t>
  </si>
  <si>
    <t>Jul</t>
  </si>
  <si>
    <t>Ago</t>
  </si>
  <si>
    <t>Set</t>
  </si>
  <si>
    <t>Out</t>
  </si>
  <si>
    <t>Nov</t>
  </si>
  <si>
    <t>Dez</t>
  </si>
  <si>
    <t>Soma Qtd</t>
  </si>
  <si>
    <t xml:space="preserve">% referente </t>
  </si>
  <si>
    <t>% restante</t>
  </si>
  <si>
    <t>Valor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</si>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</sst>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2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9" xfId="3" applyFont="1" applyFill="1" applyBorder="1" applyAlignment="1">
      <alignment horizontal="center"/>
    </xf>
    <xf numFmtId="0" fontId="16" fillId="2" borderId="0" xfId="3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" fontId="18" fillId="7" borderId="20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14" fillId="2" borderId="16" xfId="3" applyFont="1" applyFill="1" applyBorder="1" applyAlignment="1">
      <alignment horizontal="center"/>
    </xf>
    <xf numFmtId="0" fontId="14" fillId="2" borderId="17" xfId="3" applyFont="1" applyFill="1" applyBorder="1" applyAlignment="1">
      <alignment horizontal="center"/>
    </xf>
    <xf numFmtId="0" fontId="14" fillId="2" borderId="21" xfId="3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5" fillId="0" borderId="1" xfId="0" applyNumberFormat="1" applyFont="1" applyBorder="1" applyAlignment="1">
      <alignment horizontal="center"/>
    </xf>
    <xf numFmtId="0" fontId="14" fillId="2" borderId="18" xfId="3" applyFont="1" applyFill="1" applyBorder="1" applyAlignment="1">
      <alignment horizontal="center"/>
    </xf>
    <xf numFmtId="9" fontId="15" fillId="0" borderId="7" xfId="5" applyFont="1" applyBorder="1" applyAlignment="1">
      <alignment horizontal="center" vertical="center"/>
    </xf>
    <xf numFmtId="0" fontId="14" fillId="2" borderId="22" xfId="3" applyFont="1" applyFill="1" applyBorder="1" applyAlignment="1">
      <alignment horizontal="center" vertical="center" wrapText="1"/>
    </xf>
    <xf numFmtId="0" fontId="14" fillId="2" borderId="22" xfId="3" applyFont="1" applyFill="1" applyBorder="1" applyAlignment="1">
      <alignment horizontal="center" vertical="center"/>
    </xf>
    <xf numFmtId="9" fontId="15" fillId="0" borderId="22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18" fillId="7" borderId="2" xfId="0" applyNumberFormat="1" applyFont="1" applyFill="1" applyBorder="1" applyAlignment="1">
      <alignment horizontal="center"/>
    </xf>
    <xf numFmtId="1" fontId="18" fillId="7" borderId="4" xfId="0" applyNumberFormat="1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9" fontId="15" fillId="0" borderId="3" xfId="5" applyFont="1" applyBorder="1" applyAlignment="1">
      <alignment horizontal="center"/>
    </xf>
    <xf numFmtId="9" fontId="15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0" fillId="0" borderId="0" xfId="0" applyAlignment="1">
      <alignment horizontal="left"/>
    </xf>
    <xf numFmtId="0" fontId="16" fillId="2" borderId="0" xfId="3" applyNumberFormat="1" applyFont="1" applyFill="1" applyBorder="1" applyAlignment="1">
      <alignment horizontal="center"/>
    </xf>
    <xf numFmtId="9" fontId="19" fillId="3" borderId="0" xfId="5" applyFont="1" applyFill="1" applyAlignment="1">
      <alignment vertical="center"/>
    </xf>
    <xf numFmtId="9" fontId="0" fillId="7" borderId="0" xfId="5" applyFont="1" applyFill="1"/>
    <xf numFmtId="9" fontId="16" fillId="2" borderId="0" xfId="5" applyFont="1" applyFill="1" applyBorder="1" applyAlignment="1">
      <alignment horizontal="center"/>
    </xf>
    <xf numFmtId="0" fontId="0" fillId="0" borderId="0" xfId="0" pivotButton="1"/>
    <xf numFmtId="165" fontId="0" fillId="0" borderId="0" xfId="4" applyNumberFormat="1" applyFont="1"/>
    <xf numFmtId="14" fontId="0" fillId="0" borderId="0" xfId="0" applyNumberFormat="1"/>
    <xf numFmtId="0" fontId="6" fillId="8" borderId="0" xfId="0" applyFont="1" applyFill="1"/>
    <xf numFmtId="1" fontId="0" fillId="0" borderId="0" xfId="0" applyNumberFormat="1"/>
    <xf numFmtId="9" fontId="0" fillId="0" borderId="0" xfId="0" applyNumberFormat="1"/>
    <xf numFmtId="0" fontId="0" fillId="3" borderId="0" xfId="0" applyFill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/>
    </xf>
    <xf numFmtId="165" fontId="10" fillId="8" borderId="0" xfId="4" applyNumberFormat="1" applyFont="1" applyFill="1" applyBorder="1" applyAlignment="1">
      <alignment horizontal="center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71"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" formatCode="0"/>
    </dxf>
    <dxf>
      <numFmt numFmtId="1" formatCode="0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" formatCode="0"/>
    </dxf>
    <dxf>
      <numFmt numFmtId="1" formatCode="0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" formatCode="0"/>
    </dxf>
    <dxf>
      <numFmt numFmtId="1" formatCode="0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" formatCode="0"/>
    </dxf>
    <dxf>
      <numFmt numFmtId="1" formatCode="0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</dxfs>
  <tableStyles count="0" defaultTableStyle="TableStyleMedium2" defaultPivotStyle="PivotStyleLight16"/>
  <colors>
    <mruColors>
      <color rgb="FF9353FF"/>
      <color rgb="FFDAFF01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2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[Cópia de Meteora Ecommerce - PLANILHA INICIAL - Copia - Copia.xlsx]TBDN_Vendas Histórico!Tabela dinâmica1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'TBDN_Vendas Histórico'!$B$2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'TBDN_Vendas Histórico'!$A$3:$A$15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'TBDN_Vendas Histórico'!$B$3:$B$15</c:f>
              <c:numCache>
                <c:formatCode>_-[$R$-416]\ * #,##0.00_-;\-[$R$-416]\ * #,##0.00_-;_-[$R$-416]\ * "-"??_-;_-@_-</c:formatCode>
                <c:ptCount val="12"/>
                <c:pt idx="0">
                  <c:v>27065.5</c:v>
                </c:pt>
                <c:pt idx="1">
                  <c:v>7502.6</c:v>
                </c:pt>
                <c:pt idx="2">
                  <c:v>7197.4</c:v>
                </c:pt>
                <c:pt idx="3">
                  <c:v>17379.8</c:v>
                </c:pt>
                <c:pt idx="4">
                  <c:v>20685.5</c:v>
                </c:pt>
                <c:pt idx="5">
                  <c:v>22586.3</c:v>
                </c:pt>
                <c:pt idx="6">
                  <c:v>18730.099999999999</c:v>
                </c:pt>
                <c:pt idx="7">
                  <c:v>21585.8</c:v>
                </c:pt>
                <c:pt idx="8">
                  <c:v>19851</c:v>
                </c:pt>
                <c:pt idx="9">
                  <c:v>15659.4</c:v>
                </c:pt>
                <c:pt idx="10">
                  <c:v>9455.2000000000007</c:v>
                </c:pt>
                <c:pt idx="11">
                  <c:v>19742.5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D-4838-BC8D-3984835CD2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707696"/>
        <c:axId val="1211698576"/>
      </c:barChart>
      <c:lineChart>
        <c:grouping val="standard"/>
        <c:varyColors val="0"/>
        <c:ser>
          <c:idx val="1"/>
          <c:order val="1"/>
          <c:tx>
            <c:strRef>
              <c:f>'TBDN_Vendas Histórico'!$C$2</c:f>
              <c:strCache>
                <c:ptCount val="1"/>
                <c:pt idx="0">
                  <c:v>Soma 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'TBDN_Vendas Histórico'!$A$3:$A$15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'TBDN_Vendas Histórico'!$C$3:$C$15</c:f>
              <c:numCache>
                <c:formatCode>0</c:formatCode>
                <c:ptCount val="12"/>
                <c:pt idx="0">
                  <c:v>154</c:v>
                </c:pt>
                <c:pt idx="1">
                  <c:v>83</c:v>
                </c:pt>
                <c:pt idx="2">
                  <c:v>114</c:v>
                </c:pt>
                <c:pt idx="3">
                  <c:v>146</c:v>
                </c:pt>
                <c:pt idx="4">
                  <c:v>114</c:v>
                </c:pt>
                <c:pt idx="5">
                  <c:v>185</c:v>
                </c:pt>
                <c:pt idx="6">
                  <c:v>133</c:v>
                </c:pt>
                <c:pt idx="7">
                  <c:v>147</c:v>
                </c:pt>
                <c:pt idx="8">
                  <c:v>151</c:v>
                </c:pt>
                <c:pt idx="9">
                  <c:v>151</c:v>
                </c:pt>
                <c:pt idx="10">
                  <c:v>92</c:v>
                </c:pt>
                <c:pt idx="11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D-4838-BC8D-3984835CD2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1718256"/>
        <c:axId val="1211717296"/>
      </c:lineChart>
      <c:catAx>
        <c:axId val="121170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698576"/>
        <c:crosses val="autoZero"/>
        <c:auto val="1"/>
        <c:lblAlgn val="ctr"/>
        <c:lblOffset val="100"/>
        <c:noMultiLvlLbl val="0"/>
      </c:catAx>
      <c:valAx>
        <c:axId val="1211698576"/>
        <c:scaling>
          <c:orientation val="minMax"/>
        </c:scaling>
        <c:delete val="0"/>
        <c:axPos val="l"/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707696"/>
        <c:crosses val="autoZero"/>
        <c:crossBetween val="between"/>
      </c:valAx>
      <c:valAx>
        <c:axId val="12117172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718256"/>
        <c:crosses val="max"/>
        <c:crossBetween val="between"/>
      </c:valAx>
      <c:catAx>
        <c:axId val="12117182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117172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[Cópia de Meteora Ecommerce - PLANILHA INICIAL - Copia - Copia.xlsx]TBDN_Vendas Histórico!Tabela dinâmica5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'TBDN_Vendas Histórico'!$B$21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'TBDN_Vendas Histórico'!$A$22:$A$27</c:f>
              <c:strCache>
                <c:ptCount val="5"/>
                <c:pt idx="0">
                  <c:v>Clara</c:v>
                </c:pt>
                <c:pt idx="1">
                  <c:v>João</c:v>
                </c:pt>
                <c:pt idx="2">
                  <c:v>Amanda</c:v>
                </c:pt>
                <c:pt idx="3">
                  <c:v>Sarah</c:v>
                </c:pt>
                <c:pt idx="4">
                  <c:v>Bruno</c:v>
                </c:pt>
              </c:strCache>
            </c:strRef>
          </c:cat>
          <c:val>
            <c:numRef>
              <c:f>'TBDN_Vendas Histórico'!$B$22:$B$27</c:f>
              <c:numCache>
                <c:formatCode>_-[$R$-416]\ * #,##0.00_-;\-[$R$-416]\ * #,##0.00_-;_-[$R$-416]\ * "-"??_-;_-@_-</c:formatCode>
                <c:ptCount val="5"/>
                <c:pt idx="0">
                  <c:v>36204.6</c:v>
                </c:pt>
                <c:pt idx="1">
                  <c:v>36468.6</c:v>
                </c:pt>
                <c:pt idx="2">
                  <c:v>37864</c:v>
                </c:pt>
                <c:pt idx="3">
                  <c:v>47690</c:v>
                </c:pt>
                <c:pt idx="4">
                  <c:v>49213.9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E-4A1D-ACCF-C5CEA73671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1414960"/>
        <c:axId val="361405360"/>
      </c:barChart>
      <c:catAx>
        <c:axId val="36141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1405360"/>
        <c:crosses val="autoZero"/>
        <c:auto val="1"/>
        <c:lblAlgn val="ctr"/>
        <c:lblOffset val="100"/>
        <c:noMultiLvlLbl val="0"/>
      </c:catAx>
      <c:valAx>
        <c:axId val="361405360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36141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'TBDN_Vendas Histórico'!$A$38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4E2-42A8-BF31-07ED0B43EB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4E2-42A8-BF31-07ED0B43EB72}"/>
              </c:ext>
            </c:extLst>
          </c:dPt>
          <c:dLbls>
            <c:dLbl>
              <c:idx val="0"/>
              <c:layout>
                <c:manualLayout>
                  <c:x val="-0.13804760200429489"/>
                  <c:y val="0.1663860830527497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6413641364136415"/>
                      <c:h val="0.330370370370370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E2-42A8-BF31-07ED0B43EB7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E2-42A8-BF31-07ED0B43EB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'TBDN_Vendas Histórico'!$B$38:$C$38</c:f>
              <c:numCache>
                <c:formatCode>0%</c:formatCode>
                <c:ptCount val="2"/>
                <c:pt idx="0">
                  <c:v>0.19696868171254395</c:v>
                </c:pt>
                <c:pt idx="1">
                  <c:v>0.80303131828745622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E2-42A8-BF31-07ED0B43EB7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'TBDN_Vendas Histórico'!$A$39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1A-48D5-8EC5-3C0605731F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1A-48D5-8EC5-3C0605731FD5}"/>
              </c:ext>
            </c:extLst>
          </c:dPt>
          <c:dLbls>
            <c:dLbl>
              <c:idx val="0"/>
              <c:layout>
                <c:manualLayout>
                  <c:x val="-0.21221066116735413"/>
                  <c:y val="-9.25927384076990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6737845269341325"/>
                      <c:h val="0.368449256342957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1A-48D5-8EC5-3C0605731FD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1A-48D5-8EC5-3C0605731F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'TBDN_Vendas Histórico'!$B$39:$C$39</c:f>
              <c:numCache>
                <c:formatCode>0%</c:formatCode>
                <c:ptCount val="2"/>
                <c:pt idx="0">
                  <c:v>0.65129427100029846</c:v>
                </c:pt>
                <c:pt idx="1">
                  <c:v>0.34870572899970176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1A-48D5-8EC5-3C0605731F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'TBDN_Vendas Histórico'!$A$40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D9-458A-971A-70F9146F5F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D9-458A-971A-70F9146F5FF7}"/>
              </c:ext>
            </c:extLst>
          </c:dPt>
          <c:dLbls>
            <c:dLbl>
              <c:idx val="0"/>
              <c:layout>
                <c:manualLayout>
                  <c:x val="-0.10142701485708785"/>
                  <c:y val="0.1720551444447370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727828746177364"/>
                      <c:h val="0.413851947436336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6D9-458A-971A-70F9146F5FF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D9-458A-971A-70F9146F5F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'TBDN_Vendas Histórico'!$B$40:$C$40</c:f>
              <c:numCache>
                <c:formatCode>0%</c:formatCode>
                <c:ptCount val="2"/>
                <c:pt idx="0">
                  <c:v>0.15173704728715767</c:v>
                </c:pt>
                <c:pt idx="1">
                  <c:v>0.84826295271284258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D9-458A-971A-70F9146F5FF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[Cópia de Meteora Ecommerce - PLANILHA INICIAL - Copia - Copia.xlsx]TBDN_Vendas Histórico!Tabela dinâmica1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'TBDN_Vendas Histórico'!$B$2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'TBDN_Vendas Histórico'!$A$3:$A$15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'TBDN_Vendas Histórico'!$B$3:$B$15</c:f>
              <c:numCache>
                <c:formatCode>_-[$R$-416]\ * #,##0.00_-;\-[$R$-416]\ * #,##0.00_-;_-[$R$-416]\ * "-"??_-;_-@_-</c:formatCode>
                <c:ptCount val="12"/>
                <c:pt idx="0">
                  <c:v>27065.5</c:v>
                </c:pt>
                <c:pt idx="1">
                  <c:v>7502.6</c:v>
                </c:pt>
                <c:pt idx="2">
                  <c:v>7197.4</c:v>
                </c:pt>
                <c:pt idx="3">
                  <c:v>17379.8</c:v>
                </c:pt>
                <c:pt idx="4">
                  <c:v>20685.5</c:v>
                </c:pt>
                <c:pt idx="5">
                  <c:v>22586.3</c:v>
                </c:pt>
                <c:pt idx="6">
                  <c:v>18730.099999999999</c:v>
                </c:pt>
                <c:pt idx="7">
                  <c:v>21585.8</c:v>
                </c:pt>
                <c:pt idx="8">
                  <c:v>19851</c:v>
                </c:pt>
                <c:pt idx="9">
                  <c:v>15659.4</c:v>
                </c:pt>
                <c:pt idx="10">
                  <c:v>9455.2000000000007</c:v>
                </c:pt>
                <c:pt idx="11">
                  <c:v>19742.5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1-4976-A402-1778B639E6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707696"/>
        <c:axId val="1211698576"/>
      </c:barChart>
      <c:lineChart>
        <c:grouping val="standard"/>
        <c:varyColors val="0"/>
        <c:ser>
          <c:idx val="1"/>
          <c:order val="1"/>
          <c:tx>
            <c:strRef>
              <c:f>'TBDN_Vendas Histórico'!$C$2</c:f>
              <c:strCache>
                <c:ptCount val="1"/>
                <c:pt idx="0">
                  <c:v>Soma 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'TBDN_Vendas Histórico'!$A$3:$A$15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'TBDN_Vendas Histórico'!$C$3:$C$15</c:f>
              <c:numCache>
                <c:formatCode>0</c:formatCode>
                <c:ptCount val="12"/>
                <c:pt idx="0">
                  <c:v>154</c:v>
                </c:pt>
                <c:pt idx="1">
                  <c:v>83</c:v>
                </c:pt>
                <c:pt idx="2">
                  <c:v>114</c:v>
                </c:pt>
                <c:pt idx="3">
                  <c:v>146</c:v>
                </c:pt>
                <c:pt idx="4">
                  <c:v>114</c:v>
                </c:pt>
                <c:pt idx="5">
                  <c:v>185</c:v>
                </c:pt>
                <c:pt idx="6">
                  <c:v>133</c:v>
                </c:pt>
                <c:pt idx="7">
                  <c:v>147</c:v>
                </c:pt>
                <c:pt idx="8">
                  <c:v>151</c:v>
                </c:pt>
                <c:pt idx="9">
                  <c:v>151</c:v>
                </c:pt>
                <c:pt idx="10">
                  <c:v>92</c:v>
                </c:pt>
                <c:pt idx="11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1-4976-A402-1778B639E6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1718256"/>
        <c:axId val="1211717296"/>
      </c:lineChart>
      <c:catAx>
        <c:axId val="121170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698576"/>
        <c:crosses val="autoZero"/>
        <c:auto val="1"/>
        <c:lblAlgn val="ctr"/>
        <c:lblOffset val="100"/>
        <c:noMultiLvlLbl val="0"/>
      </c:catAx>
      <c:valAx>
        <c:axId val="1211698576"/>
        <c:scaling>
          <c:orientation val="minMax"/>
        </c:scaling>
        <c:delete val="0"/>
        <c:axPos val="l"/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707696"/>
        <c:crosses val="autoZero"/>
        <c:crossBetween val="between"/>
      </c:valAx>
      <c:valAx>
        <c:axId val="12117172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718256"/>
        <c:crosses val="max"/>
        <c:crossBetween val="between"/>
      </c:valAx>
      <c:catAx>
        <c:axId val="12117182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117172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[Cópia de Meteora Ecommerce - PLANILHA INICIAL - Copia - Copia.xlsx]TBDN_Vendas Histórico!Tabela dinâmica5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'TBDN_Vendas Histórico'!$B$21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'TBDN_Vendas Histórico'!$A$22:$A$27</c:f>
              <c:strCache>
                <c:ptCount val="5"/>
                <c:pt idx="0">
                  <c:v>Clara</c:v>
                </c:pt>
                <c:pt idx="1">
                  <c:v>João</c:v>
                </c:pt>
                <c:pt idx="2">
                  <c:v>Amanda</c:v>
                </c:pt>
                <c:pt idx="3">
                  <c:v>Sarah</c:v>
                </c:pt>
                <c:pt idx="4">
                  <c:v>Bruno</c:v>
                </c:pt>
              </c:strCache>
            </c:strRef>
          </c:cat>
          <c:val>
            <c:numRef>
              <c:f>'TBDN_Vendas Histórico'!$B$22:$B$27</c:f>
              <c:numCache>
                <c:formatCode>_-[$R$-416]\ * #,##0.00_-;\-[$R$-416]\ * #,##0.00_-;_-[$R$-416]\ * "-"??_-;_-@_-</c:formatCode>
                <c:ptCount val="5"/>
                <c:pt idx="0">
                  <c:v>36204.6</c:v>
                </c:pt>
                <c:pt idx="1">
                  <c:v>36468.6</c:v>
                </c:pt>
                <c:pt idx="2">
                  <c:v>37864</c:v>
                </c:pt>
                <c:pt idx="3">
                  <c:v>47690</c:v>
                </c:pt>
                <c:pt idx="4">
                  <c:v>49213.9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4-488F-97B9-7155228A50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1414960"/>
        <c:axId val="361405360"/>
      </c:barChart>
      <c:catAx>
        <c:axId val="36141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1405360"/>
        <c:crosses val="autoZero"/>
        <c:auto val="1"/>
        <c:lblAlgn val="ctr"/>
        <c:lblOffset val="100"/>
        <c:noMultiLvlLbl val="0"/>
      </c:catAx>
      <c:valAx>
        <c:axId val="361405360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36141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'TBDN_Vendas Histórico'!$A$38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140-4E3B-B29E-644E5FEF7A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40-4E3B-B29E-644E5FEF7A2C}"/>
              </c:ext>
            </c:extLst>
          </c:dPt>
          <c:dLbls>
            <c:dLbl>
              <c:idx val="0"/>
              <c:layout>
                <c:manualLayout>
                  <c:x val="-0.13201320132013206"/>
                  <c:y val="0.194444444444444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6413641364136415"/>
                      <c:h val="0.330370370370370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140-4E3B-B29E-644E5FEF7A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40-4E3B-B29E-644E5FEF7A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'TBDN_Vendas Histórico'!$B$38:$C$38</c:f>
              <c:numCache>
                <c:formatCode>0%</c:formatCode>
                <c:ptCount val="2"/>
                <c:pt idx="0">
                  <c:v>0.19696868171254395</c:v>
                </c:pt>
                <c:pt idx="1">
                  <c:v>0.80303131828745622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0-4E3B-B29E-644E5FEF7A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'TBDN_Vendas Histórico'!$A$39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55C-4A08-9E4F-0A634BFC12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5C-4A08-9E4F-0A634BFC1261}"/>
              </c:ext>
            </c:extLst>
          </c:dPt>
          <c:dLbls>
            <c:dLbl>
              <c:idx val="0"/>
              <c:layout>
                <c:manualLayout>
                  <c:x val="-0.19583333333333341"/>
                  <c:y val="-0.106481299212598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15759320407529"/>
                      <c:h val="0.296227034120734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55C-4A08-9E4F-0A634BFC126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5C-4A08-9E4F-0A634BFC12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'TBDN_Vendas Histórico'!$B$39:$C$39</c:f>
              <c:numCache>
                <c:formatCode>0%</c:formatCode>
                <c:ptCount val="2"/>
                <c:pt idx="0">
                  <c:v>0.65129427100029846</c:v>
                </c:pt>
                <c:pt idx="1">
                  <c:v>0.34870572899970176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C-4A08-9E4F-0A634BFC126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'TBDN_Vendas Histórico'!$A$40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D8A-4E44-A1C4-7EFA8B4BD3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8A-4E44-A1C4-7EFA8B4BD30A}"/>
              </c:ext>
            </c:extLst>
          </c:dPt>
          <c:dLbls>
            <c:dLbl>
              <c:idx val="0"/>
              <c:layout>
                <c:manualLayout>
                  <c:x val="-5.5555555555555552E-2"/>
                  <c:y val="0.222222222222222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8A-4E44-A1C4-7EFA8B4BD30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8A-4E44-A1C4-7EFA8B4BD3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'TBDN_Vendas Histórico'!$B$40:$C$40</c:f>
              <c:numCache>
                <c:formatCode>0%</c:formatCode>
                <c:ptCount val="2"/>
                <c:pt idx="0">
                  <c:v>0.15173704728715767</c:v>
                </c:pt>
                <c:pt idx="1">
                  <c:v>0.84826295271284258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A-4E44-A1C4-7EFA8B4BD30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10</xdr:row>
      <xdr:rowOff>30480</xdr:rowOff>
    </xdr:from>
    <xdr:to>
      <xdr:col>79</xdr:col>
      <xdr:colOff>91440</xdr:colOff>
      <xdr:row>23</xdr:row>
      <xdr:rowOff>53340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B513317-186C-4AA5-AFCD-88C2F6E7E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15240</xdr:colOff>
      <xdr:row>26</xdr:row>
      <xdr:rowOff>114300</xdr:rowOff>
    </xdr:from>
    <xdr:to>
      <xdr:col>80</xdr:col>
      <xdr:colOff>15240</xdr:colOff>
      <xdr:row>45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0AA368-6022-4292-B8D6-203F7F06A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</xdr:colOff>
      <xdr:row>27</xdr:row>
      <xdr:rowOff>15240</xdr:rowOff>
    </xdr:from>
    <xdr:to>
      <xdr:col>14</xdr:col>
      <xdr:colOff>106680</xdr:colOff>
      <xdr:row>45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071C8F-1405-4820-A71A-03730149E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22860</xdr:colOff>
      <xdr:row>27</xdr:row>
      <xdr:rowOff>7620</xdr:rowOff>
    </xdr:from>
    <xdr:to>
      <xdr:col>27</xdr:col>
      <xdr:colOff>45720</xdr:colOff>
      <xdr:row>45</xdr:row>
      <xdr:rowOff>99060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CB21D3-FF55-4917-B8B4-A49AE4D9E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60960</xdr:colOff>
      <xdr:row>27</xdr:row>
      <xdr:rowOff>30480</xdr:rowOff>
    </xdr:from>
    <xdr:to>
      <xdr:col>39</xdr:col>
      <xdr:colOff>121920</xdr:colOff>
      <xdr:row>45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31008F-E3E6-459C-A3C8-A195B5F35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22860</xdr:colOff>
      <xdr:row>1</xdr:row>
      <xdr:rowOff>45720</xdr:rowOff>
    </xdr:from>
    <xdr:to>
      <xdr:col>29</xdr:col>
      <xdr:colOff>0</xdr:colOff>
      <xdr:row>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ata (Ano) 1">
              <a:extLst>
                <a:ext uri="{FF2B5EF4-FFF2-40B4-BE49-F238E27FC236}">
                  <a16:creationId xmlns:a16="http://schemas.microsoft.com/office/drawing/2014/main" id="{9D23B933-A162-4E39-AD4B-317FE577A9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An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" y="167640"/>
              <a:ext cx="3680460" cy="601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45720</xdr:colOff>
      <xdr:row>0</xdr:row>
      <xdr:rowOff>38100</xdr:rowOff>
    </xdr:from>
    <xdr:to>
      <xdr:col>79</xdr:col>
      <xdr:colOff>121920</xdr:colOff>
      <xdr:row>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ês 1">
              <a:extLst>
                <a:ext uri="{FF2B5EF4-FFF2-40B4-BE49-F238E27FC236}">
                  <a16:creationId xmlns:a16="http://schemas.microsoft.com/office/drawing/2014/main" id="{4C20B5F9-3229-4B24-9045-29D1D326EC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7680" y="38100"/>
              <a:ext cx="6659880" cy="891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121920</xdr:colOff>
      <xdr:row>0</xdr:row>
      <xdr:rowOff>91440</xdr:rowOff>
    </xdr:from>
    <xdr:to>
      <xdr:col>2</xdr:col>
      <xdr:colOff>507999</xdr:colOff>
      <xdr:row>0</xdr:row>
      <xdr:rowOff>477519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9144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8</xdr:col>
      <xdr:colOff>476249</xdr:colOff>
      <xdr:row>0</xdr:row>
      <xdr:rowOff>85725</xdr:rowOff>
    </xdr:from>
    <xdr:to>
      <xdr:col>8</xdr:col>
      <xdr:colOff>1192529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310515</xdr:colOff>
      <xdr:row>0</xdr:row>
      <xdr:rowOff>85725</xdr:rowOff>
    </xdr:from>
    <xdr:to>
      <xdr:col>7</xdr:col>
      <xdr:colOff>1331595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98108</xdr:colOff>
      <xdr:row>0</xdr:row>
      <xdr:rowOff>85725</xdr:rowOff>
    </xdr:from>
    <xdr:to>
      <xdr:col>7</xdr:col>
      <xdr:colOff>218123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550545</xdr:colOff>
      <xdr:row>0</xdr:row>
      <xdr:rowOff>85725</xdr:rowOff>
    </xdr:from>
    <xdr:to>
      <xdr:col>6</xdr:col>
      <xdr:colOff>5715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952500</xdr:colOff>
      <xdr:row>1</xdr:row>
      <xdr:rowOff>110490</xdr:rowOff>
    </xdr:from>
    <xdr:to>
      <xdr:col>17</xdr:col>
      <xdr:colOff>1082040</xdr:colOff>
      <xdr:row>16</xdr:row>
      <xdr:rowOff>110490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912B32-F59B-E76F-D046-612E244B4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18</xdr:row>
      <xdr:rowOff>72390</xdr:rowOff>
    </xdr:from>
    <xdr:to>
      <xdr:col>10</xdr:col>
      <xdr:colOff>579120</xdr:colOff>
      <xdr:row>33</xdr:row>
      <xdr:rowOff>72390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752D0C-2EC9-E3EA-2F52-6989BBCA4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83820</xdr:colOff>
      <xdr:row>36</xdr:row>
      <xdr:rowOff>3810</xdr:rowOff>
    </xdr:from>
    <xdr:to>
      <xdr:col>7</xdr:col>
      <xdr:colOff>365760</xdr:colOff>
      <xdr:row>51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025BE7-6C61-44E1-8A9F-874FBE204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472440</xdr:colOff>
      <xdr:row>36</xdr:row>
      <xdr:rowOff>19050</xdr:rowOff>
    </xdr:from>
    <xdr:to>
      <xdr:col>12</xdr:col>
      <xdr:colOff>220980</xdr:colOff>
      <xdr:row>51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79621B-4E46-C488-2743-35D958F87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342900</xdr:colOff>
      <xdr:row>36</xdr:row>
      <xdr:rowOff>3810</xdr:rowOff>
    </xdr:from>
    <xdr:to>
      <xdr:col>17</xdr:col>
      <xdr:colOff>38100</xdr:colOff>
      <xdr:row>51</xdr:row>
      <xdr:rowOff>3810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46DC4C3-2B26-6AB9-8F25-7BF311CCB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182880</xdr:colOff>
      <xdr:row>8</xdr:row>
      <xdr:rowOff>167641</xdr:rowOff>
    </xdr:from>
    <xdr:to>
      <xdr:col>4</xdr:col>
      <xdr:colOff>739140</xdr:colOff>
      <xdr:row>13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Data (Ano)">
              <a:extLst>
                <a:ext uri="{FF2B5EF4-FFF2-40B4-BE49-F238E27FC236}">
                  <a16:creationId xmlns:a16="http://schemas.microsoft.com/office/drawing/2014/main" id="{2F431CEF-1748-1AE1-97B3-B13F0CD621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Ano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4660" y="1630681"/>
              <a:ext cx="1828800" cy="89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190500</xdr:colOff>
      <xdr:row>2</xdr:row>
      <xdr:rowOff>83821</xdr:rowOff>
    </xdr:from>
    <xdr:to>
      <xdr:col>7</xdr:col>
      <xdr:colOff>899160</xdr:colOff>
      <xdr:row>8</xdr:row>
      <xdr:rowOff>22861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Mês">
              <a:extLst>
                <a:ext uri="{FF2B5EF4-FFF2-40B4-BE49-F238E27FC236}">
                  <a16:creationId xmlns:a16="http://schemas.microsoft.com/office/drawing/2014/main" id="{93F2DA46-1A69-D56F-FEB8-FF7AEA64F8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2280" y="449581"/>
              <a:ext cx="5798820" cy="1036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Caroline Maia" refreshedDate="46090.968716203701" backgroundQuery="1" createdVersion="8" refreshedVersion="8" minRefreshableVersion="3" recordCount="0" supportSubquery="1" supportAdvancedDrill="1" xr:uid="{7400F41E-1A21-4048-A40A-C1C4D7D0DAD8}">
  <cacheSource type="external" connectionId="2"/>
  <cacheFields count="4">
    <cacheField name="[Vendas].[Mês].[Mês]" caption="Mês" numFmtId="0" hierarchy="10" level="1">
      <sharedItems count="12">
        <s v="Abr"/>
        <s v="Ago"/>
        <s v="Dez"/>
        <s v="Fev"/>
        <s v="Jan"/>
        <s v="Jul"/>
        <s v="Jun"/>
        <s v="Mai"/>
        <s v="Mar"/>
        <s v="Nov"/>
        <s v="Out"/>
        <s v="Set"/>
      </sharedItems>
    </cacheField>
    <cacheField name="[Measures].[Soma de Total 2]" caption="Soma de Total 2" numFmtId="0" hierarchy="30" level="32767"/>
    <cacheField name="[Measures].[Soma de Qtd 2]" caption="Soma de Qtd 2" numFmtId="0" hierarchy="31" level="32767"/>
    <cacheField name="[Vendas].[Vendedor].[Vendedor]" caption="Vendedor" numFmtId="0" hierarchy="19" level="1">
      <sharedItems containsSemiMixedTypes="0" containsNonDate="0" containsString="0"/>
    </cacheField>
  </cacheFields>
  <cacheHierarchies count="32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Vendas].[Mês]" caption="Mês" attribute="1" defaultMemberUniqueName="[Vendas].[Mês].[All]" allUniqueName="[Vendas].[Mês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Coluna1]" caption="Coluna1" attribute="1" defaultMemberUniqueName="[Vendas].[Coluna1].[All]" allUniqueName="[Vendas].[Coluna1].[All]" dimensionUniqueName="[Vendas]" displayFolder="" count="0" memberValueDatatype="2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Código]" caption="Código" attribute="1" defaultMemberUniqueName="[Vendas].[Código].[All]" allUniqueName="[Vendas].[Código].[All]" dimensionUniqueName="[Vendas]" displayFolder="" count="0" memberValueDatatype="130" unbalanced="0"/>
    <cacheHierarchy uniqueName="[Vendas].[Categoria]" caption="Categoria" attribute="1" defaultMemberUniqueName="[Vendas].[Categoria].[All]" allUniqueName="[Vendas].[Categoria].[All]" dimensionUniqueName="[Vendas]" displayFolder="" count="0" memberValueDatatype="130" unbalanced="0"/>
    <cacheHierarchy uniqueName="[Vendas].[Qtd]" caption="Qtd" attribute="1" defaultMemberUniqueName="[Vendas].[Qtd].[All]" allUniqueName="[Vendas].[Qtd].[All]" dimensionUniqueName="[Vendas]" displayFolder="" count="0" memberValueDatatype="20" unbalanced="0"/>
    <cacheHierarchy uniqueName="[Vendas].[Preço Unitário]" caption="Preço Unitário" attribute="1" defaultMemberUniqueName="[Vendas].[Preço Unitário].[All]" allUniqueName="[Vendas].[Preço Unitário].[All]" dimensionUniqueName="[Vendas]" displayFolder="" count="0" memberValueDatatype="5" unbalanced="0"/>
    <cacheHierarchy uniqueName="[Vendas].[Desconto Final]" caption="Desconto Final" attribute="1" defaultMemberUniqueName="[Vendas].[Desconto Final].[All]" allUniqueName="[Vendas].[Desconto Final].[All]" dimensionUniqueName="[Vendas]" displayFolder="" count="0" memberValueDatatype="5" unbalanced="0"/>
    <cacheHierarchy uniqueName="[Vendas].[Total]" caption="Total" attribute="1" defaultMemberUniqueName="[Vendas].[Total].[All]" allUniqueName="[Vendas].[Total].[All]" dimensionUniqueName="[Vendas]" displayFolder="" count="0" memberValueDatatype="5" unbalanced="0"/>
    <cacheHierarchy uniqueName="[Vendas].[Vendedor]" caption="Vendedor" attribute="1" defaultMemberUniqueName="[Vendas].[Vendedor].[All]" allUniqueName="[Vendas].[Vendedor].[All]" dimensionUniqueName="[Vendas]" displayFolder="" count="2" memberValueDatatype="130" unbalanced="0">
      <fieldsUsage count="2">
        <fieldUsage x="-1"/>
        <fieldUsage x="3"/>
      </fieldsUsage>
    </cacheHierarchy>
    <cacheHierarchy uniqueName="[Vendas].[Data (Ano)]" caption="Data (Ano)" attribute="1" defaultMemberUniqueName="[Vendas].[Data (Ano)].[All]" allUniqueName="[Vendas].[Data (Ano)].[All]" dimensionUniqueName="[Vendas]" displayFolder="" count="2" memberValueDatatype="130" unbalanced="0"/>
    <cacheHierarchy uniqueName="[Vendas].[Data (Trimestre)]" caption="Data (Trimestre)" attribute="1" defaultMemberUniqueName="[Vendas].[Data (Trimestre)].[All]" allUniqueName="[Vendas].[Data (Trimestre)].[All]" dimensionUniqueName="[Vendas]" displayFolder="" count="0" memberValueDatatype="130" unbalanced="0"/>
    <cacheHierarchy uniqueName="[Vendas].[Data (Mês)]" caption="Data (Mês)" attribute="1" defaultMemberUniqueName="[Vendas].[Data (Mês)].[All]" allUniqueName="[Vendas].[Data (Mês)].[All]" dimensionUniqueName="[Vendas]" displayFolder="" count="0" memberValueDatatype="130" unbalanced="0"/>
    <cacheHierarchy uniqueName="[Vendas].[Data (Índice de Mês)]" caption="Data (Índice de Mês)" attribute="1" defaultMemberUniqueName="[Vendas].[Data (Índice de Mês)].[All]" allUniqueName="[Vendas].[Data (Índice de Mês)].[All]" dimensionUniqueName="[Ven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Intervalo]" caption="__XL_Count Intervalo" measure="1" displayFolder="" measureGroup="Intervalo" count="0" hidden="1"/>
    <cacheHierarchy uniqueName="[Measures].[__XL_Count Vendas]" caption="__XL_Count Vendas" measure="1" displayFolder="" measureGroup="Vendas" count="0" hidden="1"/>
    <cacheHierarchy uniqueName="[Measures].[__No measures defined]" caption="__No measures defined" measure="1" displayFolder="" count="0" hidden="1"/>
    <cacheHierarchy uniqueName="[Measures].[Soma de Estoque]" caption="Soma de Estoque" measure="1" displayFolder="" measureGroup="TB_Produto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Preço Unitário]" caption="Soma de Preç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Total 2]" caption="Soma de Total 2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td 2]" caption="Soma de Qtd 2" measure="1" displayFolder="" measureGroup="Ven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Intervalo" uniqueName="[Intervalo]" caption="Intervalo"/>
    <dimension measure="1" name="Measures" uniqueName="[Measures]" caption="Measures"/>
    <dimension name="TB_Produtos" uniqueName="[TB_Produtos]" caption="TB_Produtos"/>
    <dimension name="Vendas" uniqueName="[Vendas]" caption="Vendas"/>
  </dimensions>
  <measureGroups count="3">
    <measureGroup name="Intervalo" caption="Intervalo"/>
    <measureGroup name="TB_Produtos" caption="TB_Produtos"/>
    <measureGroup name="Vendas" caption="Venda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Caroline Maia" refreshedDate="46090.968717013886" backgroundQuery="1" createdVersion="8" refreshedVersion="8" minRefreshableVersion="3" recordCount="0" supportSubquery="1" supportAdvancedDrill="1" xr:uid="{C0429616-5192-42D7-9AB4-D0F4F1D7A394}">
  <cacheSource type="external" connectionId="2"/>
  <cacheFields count="3">
    <cacheField name="[Intervalo].[Vendedor].[Vendedor]" caption="Vendedor" numFmtId="0" hierarchy="1" level="1">
      <sharedItems count="5">
        <s v="Amanda"/>
        <s v="Bruno"/>
        <s v="Clara"/>
        <s v="João"/>
        <s v="Sarah"/>
      </sharedItems>
    </cacheField>
    <cacheField name="[Measures].[Soma de Total 2]" caption="Soma de Total 2" numFmtId="0" hierarchy="30" level="32767"/>
    <cacheField name="[Vendas].[Mês].[Mês]" caption="Mês" numFmtId="0" hierarchy="10" level="1">
      <sharedItems containsSemiMixedTypes="0" containsNonDate="0" containsString="0"/>
    </cacheField>
  </cacheFields>
  <cacheHierarchies count="32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Vendas].[Mês]" caption="Mês" attribute="1" defaultMemberUniqueName="[Vendas].[Mês].[All]" allUniqueName="[Vendas].[Mês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Coluna1]" caption="Coluna1" attribute="1" defaultMemberUniqueName="[Vendas].[Coluna1].[All]" allUniqueName="[Vendas].[Coluna1].[All]" dimensionUniqueName="[Vendas]" displayFolder="" count="0" memberValueDatatype="2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Código]" caption="Código" attribute="1" defaultMemberUniqueName="[Vendas].[Código].[All]" allUniqueName="[Vendas].[Código].[All]" dimensionUniqueName="[Vendas]" displayFolder="" count="0" memberValueDatatype="130" unbalanced="0"/>
    <cacheHierarchy uniqueName="[Vendas].[Categoria]" caption="Categoria" attribute="1" defaultMemberUniqueName="[Vendas].[Categoria].[All]" allUniqueName="[Vendas].[Categoria].[All]" dimensionUniqueName="[Vendas]" displayFolder="" count="0" memberValueDatatype="130" unbalanced="0"/>
    <cacheHierarchy uniqueName="[Vendas].[Qtd]" caption="Qtd" attribute="1" defaultMemberUniqueName="[Vendas].[Qtd].[All]" allUniqueName="[Vendas].[Qtd].[All]" dimensionUniqueName="[Vendas]" displayFolder="" count="0" memberValueDatatype="20" unbalanced="0"/>
    <cacheHierarchy uniqueName="[Vendas].[Preço Unitário]" caption="Preço Unitário" attribute="1" defaultMemberUniqueName="[Vendas].[Preço Unitário].[All]" allUniqueName="[Vendas].[Preço Unitário].[All]" dimensionUniqueName="[Vendas]" displayFolder="" count="0" memberValueDatatype="5" unbalanced="0"/>
    <cacheHierarchy uniqueName="[Vendas].[Desconto Final]" caption="Desconto Final" attribute="1" defaultMemberUniqueName="[Vendas].[Desconto Final].[All]" allUniqueName="[Vendas].[Desconto Final].[All]" dimensionUniqueName="[Vendas]" displayFolder="" count="0" memberValueDatatype="5" unbalanced="0"/>
    <cacheHierarchy uniqueName="[Vendas].[Total]" caption="Total" attribute="1" defaultMemberUniqueName="[Vendas].[Total].[All]" allUniqueName="[Vendas].[Total].[All]" dimensionUniqueName="[Vendas]" displayFolder="" count="0" memberValueDatatype="5" unbalanced="0"/>
    <cacheHierarchy uniqueName="[Vendas].[Vendedor]" caption="Vendedor" attribute="1" defaultMemberUniqueName="[Vendas].[Vendedor].[All]" allUniqueName="[Vendas].[Vendedor].[All]" dimensionUniqueName="[Vendas]" displayFolder="" count="0" memberValueDatatype="130" unbalanced="0"/>
    <cacheHierarchy uniqueName="[Vendas].[Data (Ano)]" caption="Data (Ano)" attribute="1" defaultMemberUniqueName="[Vendas].[Data (Ano)].[All]" allUniqueName="[Vendas].[Data (Ano)].[All]" dimensionUniqueName="[Vendas]" displayFolder="" count="2" memberValueDatatype="130" unbalanced="0"/>
    <cacheHierarchy uniqueName="[Vendas].[Data (Trimestre)]" caption="Data (Trimestre)" attribute="1" defaultMemberUniqueName="[Vendas].[Data (Trimestre)].[All]" allUniqueName="[Vendas].[Data (Trimestre)].[All]" dimensionUniqueName="[Vendas]" displayFolder="" count="0" memberValueDatatype="130" unbalanced="0"/>
    <cacheHierarchy uniqueName="[Vendas].[Data (Mês)]" caption="Data (Mês)" attribute="1" defaultMemberUniqueName="[Vendas].[Data (Mês)].[All]" allUniqueName="[Vendas].[Data (Mês)].[All]" dimensionUniqueName="[Vendas]" displayFolder="" count="0" memberValueDatatype="130" unbalanced="0"/>
    <cacheHierarchy uniqueName="[Vendas].[Data (Índice de Mês)]" caption="Data (Índice de Mês)" attribute="1" defaultMemberUniqueName="[Vendas].[Data (Índice de Mês)].[All]" allUniqueName="[Vendas].[Data (Índice de Mês)].[All]" dimensionUniqueName="[Ven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Intervalo]" caption="__XL_Count Intervalo" measure="1" displayFolder="" measureGroup="Intervalo" count="0" hidden="1"/>
    <cacheHierarchy uniqueName="[Measures].[__XL_Count Vendas]" caption="__XL_Count Vendas" measure="1" displayFolder="" measureGroup="Vendas" count="0" hidden="1"/>
    <cacheHierarchy uniqueName="[Measures].[__No measures defined]" caption="__No measures defined" measure="1" displayFolder="" count="0" hidden="1"/>
    <cacheHierarchy uniqueName="[Measures].[Soma de Estoque]" caption="Soma de Estoque" measure="1" displayFolder="" measureGroup="TB_Produto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Preço Unitário]" caption="Soma de Preç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Total 2]" caption="Soma de Total 2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td 2]" caption="Soma de Qtd 2" measure="1" displayFolder="" measureGroup="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Intervalo" uniqueName="[Intervalo]" caption="Intervalo"/>
    <dimension measure="1" name="Measures" uniqueName="[Measures]" caption="Measures"/>
    <dimension name="TB_Produtos" uniqueName="[TB_Produtos]" caption="TB_Produtos"/>
    <dimension name="Vendas" uniqueName="[Vendas]" caption="Vendas"/>
  </dimensions>
  <measureGroups count="3">
    <measureGroup name="Intervalo" caption="Intervalo"/>
    <measureGroup name="TB_Produtos" caption="TB_Produtos"/>
    <measureGroup name="Vendas" caption="Venda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 Caroline Maia" refreshedDate="46087.010230208332" backgroundQuery="1" createdVersion="3" refreshedVersion="8" minRefreshableVersion="3" recordCount="0" supportSubquery="1" supportAdvancedDrill="1" xr:uid="{B4A644DB-ED1E-49C6-A97C-B7C88ABC4310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2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Vendas].[Mês]" caption="Mês" attribute="1" defaultMemberUniqueName="[Vendas].[Mês].[All]" allUniqueName="[Vendas].[Mês].[All]" dimensionUniqueName="[Vendas]" displayFolder="" count="0" memberValueDatatype="130" unbalanced="0"/>
    <cacheHierarchy uniqueName="[Vendas].[Coluna1]" caption="Coluna1" attribute="1" defaultMemberUniqueName="[Vendas].[Coluna1].[All]" allUniqueName="[Vendas].[Coluna1].[All]" dimensionUniqueName="[Vendas]" displayFolder="" count="0" memberValueDatatype="2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Código]" caption="Código" attribute="1" defaultMemberUniqueName="[Vendas].[Código].[All]" allUniqueName="[Vendas].[Código].[All]" dimensionUniqueName="[Vendas]" displayFolder="" count="0" memberValueDatatype="130" unbalanced="0"/>
    <cacheHierarchy uniqueName="[Vendas].[Categoria]" caption="Categoria" attribute="1" defaultMemberUniqueName="[Vendas].[Categoria].[All]" allUniqueName="[Vendas].[Categoria].[All]" dimensionUniqueName="[Vendas]" displayFolder="" count="0" memberValueDatatype="130" unbalanced="0"/>
    <cacheHierarchy uniqueName="[Vendas].[Qtd]" caption="Qtd" attribute="1" defaultMemberUniqueName="[Vendas].[Qtd].[All]" allUniqueName="[Vendas].[Qtd].[All]" dimensionUniqueName="[Vendas]" displayFolder="" count="0" memberValueDatatype="20" unbalanced="0"/>
    <cacheHierarchy uniqueName="[Vendas].[Preço Unitário]" caption="Preço Unitário" attribute="1" defaultMemberUniqueName="[Vendas].[Preço Unitário].[All]" allUniqueName="[Vendas].[Preço Unitário].[All]" dimensionUniqueName="[Vendas]" displayFolder="" count="0" memberValueDatatype="5" unbalanced="0"/>
    <cacheHierarchy uniqueName="[Vendas].[Desconto Final]" caption="Desconto Final" attribute="1" defaultMemberUniqueName="[Vendas].[Desconto Final].[All]" allUniqueName="[Vendas].[Desconto Final].[All]" dimensionUniqueName="[Vendas]" displayFolder="" count="0" memberValueDatatype="5" unbalanced="0"/>
    <cacheHierarchy uniqueName="[Vendas].[Total]" caption="Total" attribute="1" defaultMemberUniqueName="[Vendas].[Total].[All]" allUniqueName="[Vendas].[Total].[All]" dimensionUniqueName="[Vendas]" displayFolder="" count="0" memberValueDatatype="5" unbalanced="0"/>
    <cacheHierarchy uniqueName="[Vendas].[Vendedor]" caption="Vendedor" attribute="1" defaultMemberUniqueName="[Vendas].[Vendedor].[All]" allUniqueName="[Vendas].[Vendedor].[All]" dimensionUniqueName="[Vendas]" displayFolder="" count="0" memberValueDatatype="130" unbalanced="0"/>
    <cacheHierarchy uniqueName="[Vendas].[Data (Ano)]" caption="Data (Ano)" attribute="1" defaultMemberUniqueName="[Vendas].[Data (Ano)].[All]" allUniqueName="[Vendas].[Data (Ano)].[All]" dimensionUniqueName="[Vendas]" displayFolder="" count="0" memberValueDatatype="130" unbalanced="0"/>
    <cacheHierarchy uniqueName="[Vendas].[Data (Trimestre)]" caption="Data (Trimestre)" attribute="1" defaultMemberUniqueName="[Vendas].[Data (Trimestre)].[All]" allUniqueName="[Vendas].[Data (Trimestre)].[All]" dimensionUniqueName="[Vendas]" displayFolder="" count="0" memberValueDatatype="130" unbalanced="0"/>
    <cacheHierarchy uniqueName="[Vendas].[Data (Mês)]" caption="Data (Mês)" attribute="1" defaultMemberUniqueName="[Vendas].[Data (Mês)].[All]" allUniqueName="[Vendas].[Data (Mês)].[All]" dimensionUniqueName="[Vendas]" displayFolder="" count="0" memberValueDatatype="130" unbalanced="0"/>
    <cacheHierarchy uniqueName="[Vendas].[Data (Índice de Mês)]" caption="Data (Índice de Mês)" attribute="1" defaultMemberUniqueName="[Vendas].[Data (Índice de Mês)].[All]" allUniqueName="[Vendas].[Data (Índice de Mês)].[All]" dimensionUniqueName="[Ven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Intervalo]" caption="__XL_Count Intervalo" measure="1" displayFolder="" measureGroup="Intervalo" count="0" hidden="1"/>
    <cacheHierarchy uniqueName="[Measures].[__XL_Count Vendas]" caption="__XL_Count Vendas" measure="1" displayFolder="" measureGroup="Vendas" count="0" hidden="1"/>
    <cacheHierarchy uniqueName="[Measures].[__No measures defined]" caption="__No measures defined" measure="1" displayFolder="" count="0" hidden="1"/>
    <cacheHierarchy uniqueName="[Measures].[Soma de Estoque]" caption="Soma de Estoque" measure="1" displayFolder="" measureGroup="TB_Produto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Preço Unitário]" caption="Soma de Preç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Total 2]" caption="Soma de Total 2" measure="1" displayFolder="" measureGroup="Vend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Qtd 2]" caption="Soma de Qtd 2" measure="1" displayFolder="" measureGroup="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Intervalo" uniqueName="[Intervalo]" caption="Intervalo"/>
    <dimension measure="1" name="Measures" uniqueName="[Measures]" caption="Measures"/>
    <dimension name="TB_Produtos" uniqueName="[TB_Produtos]" caption="TB_Produtos"/>
    <dimension name="Vendas" uniqueName="[Vendas]" caption="Vendas"/>
  </dimensions>
  <measureGroups count="3">
    <measureGroup name="Intervalo" caption="Intervalo"/>
    <measureGroup name="TB_Produtos" caption="TB_Produtos"/>
    <measureGroup name="Vendas" caption="Venda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licerData="1" pivotCacheId="208027181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0C6A0-7A62-441C-B14B-92E6256740C2}" name="Tabela dinâmica5" cacheId="3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A21:B27" firstHeaderRow="1" firstDataRow="1" firstDataCol="1"/>
  <pivotFields count="3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oma de Total" fld="1" baseField="0" baseItem="0" numFmtId="165"/>
  </dataFields>
  <formats count="2">
    <format dxfId="64">
      <pivotArea outline="0" collapsedLevelsAreSubtotals="1" fieldPosition="0"/>
    </format>
    <format dxfId="6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59725-BC6E-4E27-9CA4-1F9553386D83}" name="Tabela dinâmica1" cacheId="2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5">
  <location ref="A2:C15" firstHeaderRow="0" firstDataRow="1" firstDataCol="1"/>
  <pivotFields count="4">
    <pivotField axis="axisRow" allDrilled="1" subtotalTop="0" showAll="0" sortType="ascending" defaultSubtotal="0" defaultAttributeDrillState="1">
      <items count="12">
        <item x="4"/>
        <item x="3"/>
        <item x="8"/>
        <item x="0"/>
        <item x="7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1" baseField="0" baseItem="0" numFmtId="165"/>
    <dataField name="Soma Qtd" fld="2" baseField="0" baseItem="0" numFmtId="1"/>
  </dataFields>
  <formats count="6"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as].[Vendedor].&amp;[VD005]"/>
      </members>
    </pivotHierarchy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oma Qtd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ópia de Meteora Ecommerce - PLANILHA INICIAL.xlsx!Vendas"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2614B82-A3AF-4DAE-A572-486820482667}" autoFormatId="16" applyNumberFormats="0" applyBorderFormats="0" applyFontFormats="0" applyPatternFormats="0" applyAlignmentFormats="0" applyWidthHeightFormats="0">
  <queryTableRefresh nextId="11">
    <queryTableFields count="10">
      <queryTableField id="1" name="Mês" tableColumnId="1"/>
      <queryTableField id="10" dataBound="0" tableColumnId="10"/>
      <queryTableField id="2" name="Data" tableColumnId="2"/>
      <queryTableField id="3" name="Código" tableColumnId="3"/>
      <queryTableField id="4" name="Categoria" tableColumnId="4"/>
      <queryTableField id="5" name="Qtd" tableColumnId="5"/>
      <queryTableField id="6" name="Preço Unitário" tableColumnId="6"/>
      <queryTableField id="7" name="Desconto Final" tableColumnId="7"/>
      <queryTableField id="8" name="Total" tableColumnId="8"/>
      <queryTableField id="9" name="Vendedor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Ano" xr10:uid="{6A336FF0-555A-434A-B6A0-817D7BA3B7AA}" sourceName="[Vendas].[Data (Ano)]">
  <pivotTables>
    <pivotTable tabId="44" name="Tabela dinâmica1"/>
    <pivotTable tabId="44" name="Tabela dinâmica5"/>
  </pivotTables>
  <data>
    <olap pivotCacheId="2080271817">
      <levels count="2">
        <level uniqueName="[Vendas].[Data (Ano)].[(All)]" sourceCaption="(All)" count="0"/>
        <level uniqueName="[Vendas].[Data (Ano)].[Data (Ano)]" sourceCaption="Data (Ano)" count="2">
          <ranges>
            <range startItem="0">
              <i n="[Vendas].[Data (Ano)].&amp;[2021]" c="2021"/>
              <i n="[Vendas].[Data (Ano)].&amp;[2022]" c="2022"/>
            </range>
          </ranges>
        </level>
      </levels>
      <selections count="1">
        <selection n="[Vendas].[Data (Ano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67B6704D-3AE7-496B-8393-AAF6398BA3C8}" sourceName="[Vendas].[Mês]">
  <pivotTables>
    <pivotTable tabId="44" name="Tabela dinâmica1"/>
    <pivotTable tabId="44" name="Tabela dinâmica5"/>
  </pivotTables>
  <data>
    <olap pivotCacheId="2080271817">
      <levels count="2">
        <level uniqueName="[Vendas].[Mês].[(All)]" sourceCaption="(All)" count="0"/>
        <level uniqueName="[Vendas].[Mês].[Mês]" sourceCaption="Mês" count="12">
          <ranges>
            <range startItem="0">
              <i n="[Vendas].[Mês].&amp;[Abr]" c="Abr"/>
              <i n="[Vendas].[Mês].&amp;[Ago]" c="Ago"/>
              <i n="[Vendas].[Mês].&amp;[Dez]" c="Dez"/>
              <i n="[Vendas].[Mês].&amp;[Fev]" c="Fev"/>
              <i n="[Vendas].[Mês].&amp;[Jan]" c="Jan"/>
              <i n="[Vendas].[Mês].&amp;[Jul]" c="Jul"/>
              <i n="[Vendas].[Mês].&amp;[Jun]" c="Jun"/>
              <i n="[Vendas].[Mês].&amp;[Mai]" c="Mai"/>
              <i n="[Vendas].[Mês].&amp;[Mar]" c="Mar"/>
              <i n="[Vendas].[Mês].&amp;[Nov]" c="Nov"/>
              <i n="[Vendas].[Mês].&amp;[Out]" c="Out"/>
              <i n="[Vendas].[Mês].&amp;[Set]" c="Set"/>
            </range>
          </ranges>
        </level>
      </levels>
      <selections count="1">
        <selection n="[Vendas].[Mês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Ano) 1" xr10:uid="{AD3A2288-533E-46D8-9C49-214055D48250}" cache="SegmentaçãodeDados_Data__Ano" caption="Data (Ano)" columnCount="2" level="1" style="SlicerStyleLight2" rowHeight="234950"/>
  <slicer name="Mês 1" xr10:uid="{D71FA8A9-2EDC-44A0-8695-D8794B27FCEF}" cache="SegmentaçãodeDados_Mês" caption="Mês" columnCount="6" level="1" style="SlicerStyleLight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Ano)" xr10:uid="{092DEDE8-B75B-45D0-BE2A-2625E0EF24B1}" cache="SegmentaçãodeDados_Data__Ano" caption="Data (Ano)" level="1" rowHeight="234950"/>
  <slicer name="Mês" xr10:uid="{31D66F7D-C3E0-498E-9F3F-E5EFCF8AEC4D}" cache="SegmentaçãodeDados_Mês" caption="Mês" columnCount="6" level="1" rowHeight="23495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7" totalsRowShown="0" headerRowDxfId="62">
  <autoFilter ref="B6:G67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61"/>
    <tableColumn id="2" xr3:uid="{E100D4E2-C3A0-43FF-A1D9-90A4BC2A9918}" name="Produtos"/>
    <tableColumn id="3" xr3:uid="{2EF7FEE0-6B6F-4534-86A0-46B6555B7BEF}" name="Tamanho" dataDxfId="60"/>
    <tableColumn id="4" xr3:uid="{4435A4B8-E7F0-4D66-A4F8-6A9FEAA36D5A}" name="Categoria"/>
    <tableColumn id="6" xr3:uid="{15F9CACC-A558-4A20-80CF-C2ADA2603221}" name="Estoque" dataDxfId="59"/>
    <tableColumn id="5" xr3:uid="{CA8AD0DE-58EC-4839-85FB-1DD75DA28087}" name="Preço Unitário" dataDxfId="5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M86" totalsRowShown="0" headerRowDxfId="57" dataDxfId="56" headerRowCellStyle="Cabeçalho Meteora">
  <autoFilter ref="A4:M86" xr:uid="{AD739091-30BD-4C30-BDDA-7504C0C4B6E2}"/>
  <tableColumns count="13">
    <tableColumn id="7" xr3:uid="{5E8DE7C3-CDB6-4314-A5CC-C44D3C21973F}" name="Nº" dataDxfId="55">
      <calculatedColumnFormula>MONTH(TB_Vendas[[#This Row],[Data]])</calculatedColumnFormula>
    </tableColumn>
    <tableColumn id="1" xr3:uid="{43632F1F-6978-4CE7-BB13-7CCE587D6821}" name="Data" dataDxfId="54"/>
    <tableColumn id="12" xr3:uid="{205A55AB-454E-4288-AE23-042C3C399E7A}" name="Código" dataDxfId="53"/>
    <tableColumn id="13" xr3:uid="{35D14100-C4EC-40C5-974D-7C1EDA9F9E62}" name="Categoria" dataDxfId="52">
      <calculatedColumnFormula array="1">_xlfn.XLOOKUP(TB_Vendas[[#This Row],[Código]],TB_Produtos[[#All],[Código]],TB_Produtos[[#All],[Categoria]])</calculatedColumnFormula>
    </tableColumn>
    <tableColumn id="5" xr3:uid="{7DC2ADED-AF8A-4BC8-A38E-FEF676FE49C9}" name="Qtd" dataDxfId="51"/>
    <tableColumn id="9" xr3:uid="{05B7315B-2774-41BC-AFEC-4A19E452D6C7}" name="Preço Unitário" dataDxfId="50">
      <calculatedColumnFormula>VLOOKUP(TB_Vendas[[#This Row],[Código]],TB_Produtos[#All],6,FALSE)</calculatedColumnFormula>
    </tableColumn>
    <tableColumn id="11" xr3:uid="{5BB02E34-D34F-4189-B322-FF66B2AF5EBE}" name="Índice" dataDxfId="49">
      <calculatedColumnFormula>_xlfn.XMATCH(TB_Vendas[[#This Row],[Categoria]],Desc_Categoria)</calculatedColumnFormula>
    </tableColumn>
    <tableColumn id="14" xr3:uid="{CC42091A-E6A1-4B0D-84AC-22DEFEC2BAB3}" name="Desc_Simples" dataDxfId="48" dataCellStyle="Porcentagem">
      <calculatedColumnFormula>VLOOKUP(TB_Vendas[[#This Row],[Qtd]],Desc_Tabela,TB_Vendas[[#This Row],[Índice]])</calculatedColumnFormula>
    </tableColumn>
    <tableColumn id="2" xr3:uid="{4BEBDE19-FA81-4412-AC83-E0AE6998A9B4}" name="Desc_Direto" dataDxfId="47" dataCellStyle="Porcentagem">
      <calculatedColumnFormula array="1">INDEX(Desc_TabelaTotal,MATCH(TB_Vendas[[#This Row],[Qtd]],Desc_Qtde,1),MATCH(_xlfn.XLOOKUP(C5,TB_Produtos[[#All],[Código]],TB_Produtos[[#All],[Categoria]]),Desc_Categoria,0))</calculatedColumnFormula>
    </tableColumn>
    <tableColumn id="3" xr3:uid="{E5F0BFB7-0C9D-471B-948F-E8446C3122C4}" name="Desc_Vendedor" dataDxfId="46" dataCellStyle="Porcentagem">
      <calculatedColumnFormula>_xlfn.XLOOKUP(TB_Vendas[[#This Row],[Vendedor]],Vendedores!$A$4:$A$9,Vendedores!$D$5:$D$10)</calculatedColumnFormula>
    </tableColumn>
    <tableColumn id="4" xr3:uid="{BD2CA6F8-CA73-4CD9-AF86-1469A4BE5DEA}" name="Desc_Real" dataDxfId="45" dataCellStyle="Porcentagem">
      <calculatedColumnFormula>IF(TB_Vendas[[#This Row],[Desc_Direto]]&gt;TB_Vendas[[#This Row],[Desc_Vendedor]],TB_Vendas[[#This Row],[Desc_Vendedor]],TB_Vendas[[#This Row],[Desc_Direto]])</calculatedColumnFormula>
    </tableColumn>
    <tableColumn id="6" xr3:uid="{9459B662-6A4F-4486-82B1-12F67B8F842E}" name="Total" dataDxfId="44">
      <calculatedColumnFormula>TB_Vendas[[#This Row],[Preço Unitário]]*TB_Vendas[[#This Row],[Qtd]]</calculatedColumnFormula>
    </tableColumn>
    <tableColumn id="8" xr3:uid="{192FEBCA-1287-48A6-9BE6-69528F71C305}" name="Vendedor" dataDxfId="4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A74FA7-5B03-4E80-8ABF-0CAF62E30AAE}" name="Vendas" displayName="Vendas" ref="A1:J253" tableType="queryTable" totalsRowShown="0">
  <autoFilter ref="A1:J253" xr:uid="{B0A74FA7-5B03-4E80-8ABF-0CAF62E30AAE}"/>
  <tableColumns count="10">
    <tableColumn id="1" xr3:uid="{961A999D-5682-4578-A940-3D02FB96021E}" uniqueName="1" name="Mês" queryTableFieldId="1" dataDxfId="42" totalsRowDxfId="41"/>
    <tableColumn id="10" xr3:uid="{955F88A5-EF4A-46E8-9EE5-99F25A89122F}" uniqueName="10" name="Coluna1" queryTableFieldId="10" dataDxfId="40" totalsRowDxfId="39">
      <calculatedColumnFormula>MONTH(Vendas[[#This Row],[Data]])</calculatedColumnFormula>
    </tableColumn>
    <tableColumn id="2" xr3:uid="{BC2E464C-4DB1-4D49-8F3E-40664BEBA197}" uniqueName="2" name="Data" queryTableFieldId="2" dataDxfId="38" totalsRowDxfId="37"/>
    <tableColumn id="3" xr3:uid="{43ACB224-669C-42C7-8EB8-452D77801D2B}" uniqueName="3" name="Código" queryTableFieldId="3" dataDxfId="36" totalsRowDxfId="35"/>
    <tableColumn id="4" xr3:uid="{C7EA78C2-544A-460F-BB23-CDB6E51D31FF}" uniqueName="4" name="Categoria" queryTableFieldId="4" dataDxfId="34" totalsRowDxfId="33"/>
    <tableColumn id="5" xr3:uid="{A4915803-7BB0-42CA-ABE6-F4888259E3E2}" uniqueName="5" name="Qtd" queryTableFieldId="5"/>
    <tableColumn id="6" xr3:uid="{843886FB-D0EE-4806-82D3-23C99318CE7A}" uniqueName="6" name="Preço Unitário" queryTableFieldId="6" dataDxfId="32" totalsRowDxfId="31"/>
    <tableColumn id="7" xr3:uid="{6AF68AC8-F1A8-48EA-957C-F91D71DB1A8E}" uniqueName="7" name="Desconto Final" queryTableFieldId="7" dataDxfId="30" totalsRowDxfId="29"/>
    <tableColumn id="8" xr3:uid="{F4F4F560-ECEE-49F1-B65C-55BBD95739A4}" uniqueName="8" name="Total" queryTableFieldId="8" dataDxfId="28" totalsRowDxfId="27"/>
    <tableColumn id="9" xr3:uid="{F261AFD4-522B-4939-87FD-062A32C0F0DC}" uniqueName="9" name="Vendedor" queryTableFieldId="9" dataDxfId="26" totalsRowDxfId="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sheetPr codeName="Planilha1"/>
  <dimension ref="A1:L16"/>
  <sheetViews>
    <sheetView workbookViewId="0">
      <selection activeCell="J14" sqref="J14"/>
    </sheetView>
  </sheetViews>
  <sheetFormatPr defaultColWidth="0" defaultRowHeight="14.4" zeroHeight="1"/>
  <cols>
    <col min="1" max="5" width="8.88671875" style="16" customWidth="1"/>
    <col min="6" max="12" width="8.88671875" customWidth="1"/>
    <col min="13" max="16384" width="8.88671875" hidden="1"/>
  </cols>
  <sheetData>
    <row r="1" spans="1:1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2">
      <c r="F7" s="16"/>
      <c r="G7" s="16"/>
      <c r="H7" s="16"/>
      <c r="I7" s="16"/>
      <c r="J7" s="16"/>
      <c r="K7" s="16"/>
      <c r="L7" s="16"/>
    </row>
    <row r="8" spans="1:12">
      <c r="F8" s="16"/>
      <c r="G8" s="16"/>
      <c r="H8" s="16"/>
      <c r="I8" s="16"/>
      <c r="J8" s="16"/>
      <c r="K8" s="16"/>
      <c r="L8" s="16"/>
    </row>
    <row r="9" spans="1:12">
      <c r="F9" s="16"/>
      <c r="G9" s="16"/>
      <c r="H9" s="16"/>
      <c r="I9" s="16"/>
      <c r="J9" s="16"/>
      <c r="K9" s="16"/>
      <c r="L9" s="16"/>
    </row>
    <row r="10" spans="1:12">
      <c r="F10" s="16"/>
      <c r="G10" s="16"/>
      <c r="H10" s="16"/>
      <c r="I10" s="16"/>
      <c r="J10" s="16"/>
      <c r="K10" s="16"/>
      <c r="L10" s="16"/>
    </row>
    <row r="11" spans="1:12">
      <c r="F11" s="16"/>
      <c r="G11" s="16"/>
      <c r="H11" s="16"/>
      <c r="I11" s="16"/>
      <c r="J11" s="16"/>
      <c r="K11" s="16"/>
      <c r="L11" s="16"/>
    </row>
    <row r="12" spans="1:12">
      <c r="F12" s="16"/>
      <c r="G12" s="16"/>
      <c r="H12" s="16"/>
      <c r="I12" s="16"/>
      <c r="J12" s="16"/>
      <c r="K12" s="16"/>
      <c r="L12" s="16"/>
    </row>
    <row r="13" spans="1:12">
      <c r="F13" s="16"/>
      <c r="G13" s="16"/>
      <c r="H13" s="16"/>
      <c r="I13" s="16"/>
      <c r="J13" s="16"/>
      <c r="K13" s="16"/>
      <c r="L13" s="16"/>
    </row>
    <row r="14" spans="1:12">
      <c r="F14" s="16"/>
      <c r="G14" s="16"/>
      <c r="H14" s="16"/>
      <c r="I14" s="16"/>
      <c r="J14" s="16"/>
      <c r="K14" s="16"/>
      <c r="L14" s="16"/>
    </row>
    <row r="15" spans="1:12">
      <c r="F15" s="16"/>
      <c r="G15" s="16"/>
      <c r="H15" s="16"/>
      <c r="I15" s="16"/>
      <c r="J15" s="16"/>
      <c r="K15" s="16"/>
      <c r="L15" s="16"/>
    </row>
    <row r="16" spans="1:12">
      <c r="F16" s="16"/>
      <c r="G16" s="16"/>
      <c r="H16" s="16"/>
      <c r="I16" s="16"/>
      <c r="J16" s="16"/>
      <c r="K16" s="16"/>
      <c r="L16" s="16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9ABA-8FA7-458E-B0A0-AEF22A1F847C}">
  <dimension ref="C2:CF46"/>
  <sheetViews>
    <sheetView showGridLines="0" showRowColHeaders="0" tabSelected="1" topLeftCell="B1" zoomScaleNormal="100" workbookViewId="0">
      <selection activeCell="AQ26" sqref="AQ26:CB27"/>
    </sheetView>
  </sheetViews>
  <sheetFormatPr defaultColWidth="2" defaultRowHeight="9.75" customHeight="1"/>
  <cols>
    <col min="1" max="16384" width="2" style="6"/>
  </cols>
  <sheetData>
    <row r="2" spans="3:84" ht="9.75" customHeight="1">
      <c r="R2" s="51"/>
      <c r="S2" s="51"/>
      <c r="T2" s="51"/>
      <c r="U2" s="51"/>
      <c r="V2" s="5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51"/>
      <c r="AP2" s="5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51"/>
      <c r="BJ2" s="5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51"/>
      <c r="CD2" s="51"/>
      <c r="CE2" s="51"/>
      <c r="CF2" s="51"/>
    </row>
    <row r="3" spans="3:84" ht="9.75" customHeight="1">
      <c r="R3" s="51"/>
      <c r="S3" s="51"/>
      <c r="T3" s="51"/>
      <c r="U3" s="51"/>
      <c r="V3" s="5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51"/>
      <c r="AP3" s="5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51"/>
      <c r="BJ3" s="5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51"/>
      <c r="CD3" s="51"/>
      <c r="CE3" s="51"/>
      <c r="CF3" s="51"/>
    </row>
    <row r="4" spans="3:84" ht="9.75" customHeight="1">
      <c r="R4" s="51"/>
      <c r="S4" s="51"/>
      <c r="T4" s="51"/>
      <c r="U4" s="51"/>
      <c r="V4" s="51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51"/>
      <c r="AP4" s="51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51"/>
      <c r="BJ4" s="51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51"/>
      <c r="CD4" s="51"/>
      <c r="CE4" s="51"/>
      <c r="CF4" s="51"/>
    </row>
    <row r="5" spans="3:84" ht="9.75" customHeight="1">
      <c r="R5" s="51"/>
      <c r="S5" s="51"/>
      <c r="T5" s="51"/>
      <c r="U5" s="51"/>
      <c r="V5" s="51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51"/>
      <c r="AP5" s="51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51"/>
      <c r="BJ5" s="51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51"/>
      <c r="CD5" s="51"/>
      <c r="CE5" s="51"/>
      <c r="CF5" s="51"/>
    </row>
    <row r="6" spans="3:84" ht="9.75" customHeight="1">
      <c r="R6" s="51"/>
      <c r="S6" s="51"/>
      <c r="T6" s="51"/>
      <c r="U6" s="51"/>
      <c r="V6" s="51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51"/>
      <c r="AP6" s="51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51"/>
      <c r="BJ6" s="51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51"/>
      <c r="CD6" s="51"/>
      <c r="CE6" s="51"/>
      <c r="CF6" s="51"/>
    </row>
    <row r="7" spans="3:84" ht="9.75" customHeight="1">
      <c r="R7" s="51"/>
      <c r="S7" s="51"/>
      <c r="T7" s="51"/>
      <c r="U7" s="51"/>
      <c r="V7" s="51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51"/>
      <c r="AP7" s="51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51"/>
      <c r="BJ7" s="51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51"/>
      <c r="CD7" s="51"/>
      <c r="CE7" s="51"/>
      <c r="CF7" s="51"/>
    </row>
    <row r="8" spans="3:84" ht="9.75" customHeight="1" thickBot="1"/>
    <row r="9" spans="3:84" ht="9.75" customHeight="1">
      <c r="C9" s="55" t="s">
        <v>76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7"/>
    </row>
    <row r="10" spans="3:84" ht="9.75" customHeight="1" thickBot="1">
      <c r="C10" s="5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60"/>
    </row>
    <row r="11" spans="3:84" ht="9.75" customHeight="1">
      <c r="C11" s="61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3"/>
    </row>
    <row r="12" spans="3:84" ht="9.75" customHeight="1"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6"/>
    </row>
    <row r="13" spans="3:84" ht="9.75" customHeight="1">
      <c r="C13" s="64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6"/>
    </row>
    <row r="14" spans="3:84" ht="9.75" customHeight="1">
      <c r="C14" s="64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6"/>
    </row>
    <row r="15" spans="3:84" ht="9.75" customHeight="1">
      <c r="C15" s="64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6"/>
    </row>
    <row r="16" spans="3:84" ht="9.75" customHeight="1">
      <c r="C16" s="64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6"/>
    </row>
    <row r="17" spans="3:80" ht="9.75" customHeight="1">
      <c r="C17" s="64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6"/>
    </row>
    <row r="18" spans="3:80" ht="9.75" customHeight="1">
      <c r="C18" s="64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6"/>
    </row>
    <row r="19" spans="3:80" ht="9.75" customHeight="1">
      <c r="C19" s="64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6"/>
    </row>
    <row r="20" spans="3:80" ht="9.75" customHeight="1">
      <c r="C20" s="64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6"/>
    </row>
    <row r="21" spans="3:80" ht="9.75" customHeight="1">
      <c r="C21" s="64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6"/>
    </row>
    <row r="22" spans="3:80" ht="9.75" customHeight="1">
      <c r="C22" s="64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6"/>
    </row>
    <row r="23" spans="3:80" ht="9.75" customHeight="1">
      <c r="C23" s="64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6"/>
    </row>
    <row r="24" spans="3:80" ht="9.75" customHeight="1" thickBot="1">
      <c r="C24" s="67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9"/>
    </row>
    <row r="25" spans="3:80" ht="9.75" customHeight="1" thickBot="1"/>
    <row r="26" spans="3:80" ht="9.75" customHeight="1">
      <c r="C26" s="55" t="s">
        <v>77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7"/>
      <c r="AO26" s="7"/>
      <c r="AP26" s="7"/>
      <c r="AQ26" s="55" t="s">
        <v>78</v>
      </c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7"/>
    </row>
    <row r="27" spans="3:80" ht="9.75" customHeight="1" thickBot="1">
      <c r="C27" s="5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60"/>
      <c r="AO27" s="7"/>
      <c r="AP27" s="7"/>
      <c r="AQ27" s="58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60"/>
    </row>
    <row r="28" spans="3:80" ht="9.75" customHeight="1">
      <c r="C28" s="61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3"/>
      <c r="AQ28" s="61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3"/>
    </row>
    <row r="29" spans="3:80" ht="9.75" customHeight="1">
      <c r="C29" s="64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6"/>
      <c r="AQ29" s="64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6"/>
    </row>
    <row r="30" spans="3:80" ht="9.75" customHeight="1">
      <c r="C30" s="64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6"/>
      <c r="AQ30" s="64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6"/>
    </row>
    <row r="31" spans="3:80" ht="9.75" customHeight="1">
      <c r="C31" s="64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6"/>
      <c r="AQ31" s="64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6"/>
    </row>
    <row r="32" spans="3:80" ht="9.75" customHeight="1">
      <c r="C32" s="64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6"/>
      <c r="AQ32" s="64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6"/>
    </row>
    <row r="33" spans="3:80" ht="9.75" customHeight="1">
      <c r="C33" s="64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6"/>
      <c r="AQ33" s="64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6"/>
    </row>
    <row r="34" spans="3:80" ht="9.75" customHeight="1">
      <c r="C34" s="64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6"/>
      <c r="AQ34" s="64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6"/>
    </row>
    <row r="35" spans="3:80" ht="9.75" customHeight="1">
      <c r="C35" s="64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6"/>
      <c r="AQ35" s="64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6"/>
    </row>
    <row r="36" spans="3:80" ht="9.75" customHeight="1">
      <c r="C36" s="64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6"/>
      <c r="AQ36" s="64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6"/>
    </row>
    <row r="37" spans="3:80" ht="9.75" customHeight="1">
      <c r="C37" s="64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6"/>
      <c r="AQ37" s="64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6"/>
    </row>
    <row r="38" spans="3:80" ht="9.75" customHeight="1">
      <c r="C38" s="64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6"/>
      <c r="AQ38" s="64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6"/>
    </row>
    <row r="39" spans="3:80" ht="9.75" customHeight="1">
      <c r="C39" s="64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6"/>
      <c r="AQ39" s="64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6"/>
    </row>
    <row r="40" spans="3:80" ht="9.75" customHeight="1"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6"/>
      <c r="AQ40" s="64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6"/>
    </row>
    <row r="41" spans="3:80" ht="9.75" customHeight="1">
      <c r="C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6"/>
      <c r="AQ41" s="64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6"/>
    </row>
    <row r="42" spans="3:80" ht="9.75" customHeight="1">
      <c r="C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6"/>
      <c r="AQ42" s="64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6"/>
    </row>
    <row r="43" spans="3:80" ht="9.75" customHeight="1"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6"/>
      <c r="AQ43" s="64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6"/>
    </row>
    <row r="44" spans="3:80" ht="9.75" customHeight="1">
      <c r="C44" s="64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6"/>
      <c r="AQ44" s="64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6"/>
    </row>
    <row r="45" spans="3:80" ht="9.75" customHeight="1">
      <c r="C45" s="64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6"/>
      <c r="AQ45" s="64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6"/>
    </row>
    <row r="46" spans="3:80" ht="9.75" customHeight="1" thickBot="1">
      <c r="C46" s="67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9"/>
      <c r="AQ46" s="67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9"/>
    </row>
  </sheetData>
  <mergeCells count="12">
    <mergeCell ref="C9:CB10"/>
    <mergeCell ref="C11:CB24"/>
    <mergeCell ref="C26:AN27"/>
    <mergeCell ref="AQ26:CB27"/>
    <mergeCell ref="C28:AN46"/>
    <mergeCell ref="AQ28:CB46"/>
    <mergeCell ref="W2:AN3"/>
    <mergeCell ref="AQ2:BH3"/>
    <mergeCell ref="BK2:CB3"/>
    <mergeCell ref="W4:AN7"/>
    <mergeCell ref="AQ4:BH7"/>
    <mergeCell ref="BK4:CB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sheetPr codeName="Planilha2"/>
  <dimension ref="A1:I67"/>
  <sheetViews>
    <sheetView showGridLines="0" topLeftCell="A49" zoomScale="140" zoomScaleNormal="140" workbookViewId="0">
      <selection activeCell="B6" sqref="B6:G67"/>
    </sheetView>
  </sheetViews>
  <sheetFormatPr defaultColWidth="0" defaultRowHeight="14.4"/>
  <cols>
    <col min="1" max="1" width="8.44140625" customWidth="1"/>
    <col min="2" max="2" width="18.33203125" bestFit="1" customWidth="1"/>
    <col min="3" max="3" width="22.6640625" style="1" customWidth="1"/>
    <col min="4" max="4" width="14" bestFit="1" customWidth="1"/>
    <col min="5" max="5" width="17.109375" bestFit="1" customWidth="1"/>
    <col min="6" max="6" width="13.109375" customWidth="1"/>
    <col min="7" max="7" width="22.88671875" bestFit="1" customWidth="1"/>
    <col min="8" max="8" width="8.88671875" customWidth="1"/>
    <col min="9" max="16384" width="8.88671875" hidden="1"/>
  </cols>
  <sheetData>
    <row r="1" spans="1:9" s="16" customFormat="1" ht="40.200000000000003" customHeight="1">
      <c r="A1" s="19"/>
      <c r="B1" s="23" t="s">
        <v>122</v>
      </c>
      <c r="C1" s="23"/>
      <c r="D1" s="23"/>
      <c r="E1" s="23"/>
      <c r="F1" s="23"/>
      <c r="G1" s="23"/>
      <c r="H1" s="21"/>
      <c r="I1" s="21"/>
    </row>
    <row r="2" spans="1:9" s="17" customFormat="1" ht="4.5" customHeight="1">
      <c r="A2" s="20"/>
      <c r="B2" s="20"/>
      <c r="C2" s="20"/>
      <c r="D2" s="20"/>
      <c r="E2" s="20"/>
      <c r="F2" s="20"/>
    </row>
    <row r="3" spans="1:9" ht="4.5" customHeight="1">
      <c r="A3" s="18"/>
      <c r="B3" s="18"/>
      <c r="C3" s="18"/>
      <c r="D3" s="18"/>
      <c r="E3" s="18"/>
      <c r="F3" s="18"/>
    </row>
    <row r="4" spans="1:9" ht="18" customHeight="1">
      <c r="A4" s="22"/>
      <c r="B4" s="22"/>
      <c r="D4" s="18"/>
      <c r="E4" s="18"/>
      <c r="F4" s="18"/>
    </row>
    <row r="5" spans="1:9" ht="4.95" customHeight="1">
      <c r="A5" s="18"/>
      <c r="B5" s="18"/>
      <c r="C5" s="18"/>
      <c r="D5" s="18"/>
      <c r="E5" s="18"/>
      <c r="F5" s="18"/>
    </row>
    <row r="6" spans="1:9" s="1" customFormat="1" ht="18">
      <c r="B6" s="10" t="s">
        <v>30</v>
      </c>
      <c r="C6" s="10" t="s">
        <v>0</v>
      </c>
      <c r="D6" s="10" t="s">
        <v>1</v>
      </c>
      <c r="E6" s="10" t="s">
        <v>10</v>
      </c>
      <c r="F6" s="10" t="s">
        <v>75</v>
      </c>
      <c r="G6" s="10" t="s">
        <v>11</v>
      </c>
      <c r="H6" s="10"/>
    </row>
    <row r="7" spans="1:9">
      <c r="B7" s="1" t="s">
        <v>31</v>
      </c>
      <c r="C7" t="s">
        <v>5</v>
      </c>
      <c r="D7" s="1" t="s">
        <v>2</v>
      </c>
      <c r="E7" t="s">
        <v>12</v>
      </c>
      <c r="F7" s="1">
        <v>0</v>
      </c>
      <c r="G7" s="2">
        <v>65.900000000000006</v>
      </c>
    </row>
    <row r="8" spans="1:9">
      <c r="B8" s="1" t="s">
        <v>32</v>
      </c>
      <c r="C8" t="s">
        <v>5</v>
      </c>
      <c r="D8" s="1" t="s">
        <v>3</v>
      </c>
      <c r="E8" t="s">
        <v>12</v>
      </c>
      <c r="F8" s="1">
        <v>10</v>
      </c>
      <c r="G8" s="2">
        <v>69.900000000000006</v>
      </c>
    </row>
    <row r="9" spans="1:9">
      <c r="B9" s="1" t="s">
        <v>33</v>
      </c>
      <c r="C9" t="s">
        <v>5</v>
      </c>
      <c r="D9" s="1" t="s">
        <v>4</v>
      </c>
      <c r="E9" t="s">
        <v>12</v>
      </c>
      <c r="F9" s="1">
        <v>37</v>
      </c>
      <c r="G9" s="2">
        <v>70.900000000000006</v>
      </c>
    </row>
    <row r="10" spans="1:9">
      <c r="B10" s="1" t="s">
        <v>34</v>
      </c>
      <c r="C10" t="s">
        <v>29</v>
      </c>
      <c r="D10" s="1" t="s">
        <v>8</v>
      </c>
      <c r="E10" t="s">
        <v>13</v>
      </c>
      <c r="F10" s="1">
        <v>5</v>
      </c>
      <c r="G10" s="2">
        <v>145</v>
      </c>
    </row>
    <row r="11" spans="1:9">
      <c r="B11" s="1" t="s">
        <v>35</v>
      </c>
      <c r="C11" t="s">
        <v>28</v>
      </c>
      <c r="D11" s="1" t="s">
        <v>8</v>
      </c>
      <c r="E11" t="s">
        <v>13</v>
      </c>
      <c r="F11" s="1">
        <v>21</v>
      </c>
      <c r="G11" s="2">
        <v>259.89999999999998</v>
      </c>
    </row>
    <row r="12" spans="1:9">
      <c r="B12" s="1" t="s">
        <v>36</v>
      </c>
      <c r="C12" t="s">
        <v>6</v>
      </c>
      <c r="D12" s="1" t="s">
        <v>8</v>
      </c>
      <c r="E12" t="s">
        <v>13</v>
      </c>
      <c r="F12" s="1">
        <v>23</v>
      </c>
      <c r="G12" s="2">
        <v>39.9</v>
      </c>
    </row>
    <row r="13" spans="1:9">
      <c r="B13" s="1" t="s">
        <v>37</v>
      </c>
      <c r="C13" t="s">
        <v>23</v>
      </c>
      <c r="D13" s="1" t="s">
        <v>2</v>
      </c>
      <c r="E13" t="s">
        <v>12</v>
      </c>
      <c r="F13" s="1">
        <v>24</v>
      </c>
      <c r="G13" s="2">
        <v>85.9</v>
      </c>
    </row>
    <row r="14" spans="1:9">
      <c r="B14" s="1" t="s">
        <v>38</v>
      </c>
      <c r="C14" t="s">
        <v>23</v>
      </c>
      <c r="D14" s="1" t="s">
        <v>3</v>
      </c>
      <c r="E14" t="s">
        <v>12</v>
      </c>
      <c r="F14" s="1">
        <v>35</v>
      </c>
      <c r="G14" s="2">
        <v>89.9</v>
      </c>
    </row>
    <row r="15" spans="1:9">
      <c r="B15" s="1" t="s">
        <v>39</v>
      </c>
      <c r="C15" t="s">
        <v>23</v>
      </c>
      <c r="D15" s="1" t="s">
        <v>4</v>
      </c>
      <c r="E15" t="s">
        <v>12</v>
      </c>
      <c r="F15" s="1">
        <v>47</v>
      </c>
      <c r="G15" s="2">
        <v>92.9</v>
      </c>
    </row>
    <row r="16" spans="1:9">
      <c r="B16" s="1" t="s">
        <v>40</v>
      </c>
      <c r="C16" t="s">
        <v>26</v>
      </c>
      <c r="D16" s="1" t="s">
        <v>2</v>
      </c>
      <c r="E16" t="s">
        <v>12</v>
      </c>
      <c r="F16" s="1">
        <v>42</v>
      </c>
      <c r="G16" s="2">
        <v>44.9</v>
      </c>
    </row>
    <row r="17" spans="2:7">
      <c r="B17" s="1" t="s">
        <v>41</v>
      </c>
      <c r="C17" t="s">
        <v>26</v>
      </c>
      <c r="D17" s="1" t="s">
        <v>3</v>
      </c>
      <c r="E17" t="s">
        <v>12</v>
      </c>
      <c r="F17" s="1">
        <v>32</v>
      </c>
      <c r="G17" s="2">
        <v>46.9</v>
      </c>
    </row>
    <row r="18" spans="2:7">
      <c r="B18" s="1" t="s">
        <v>42</v>
      </c>
      <c r="C18" t="s">
        <v>26</v>
      </c>
      <c r="D18" s="1" t="s">
        <v>4</v>
      </c>
      <c r="E18" t="s">
        <v>12</v>
      </c>
      <c r="F18" s="1">
        <v>45</v>
      </c>
      <c r="G18" s="2">
        <v>48.9</v>
      </c>
    </row>
    <row r="19" spans="2:7">
      <c r="B19" s="1" t="s">
        <v>43</v>
      </c>
      <c r="C19" t="s">
        <v>18</v>
      </c>
      <c r="D19" s="1" t="s">
        <v>2</v>
      </c>
      <c r="E19" t="s">
        <v>12</v>
      </c>
      <c r="F19" s="1">
        <v>19</v>
      </c>
      <c r="G19" s="2">
        <v>39.9</v>
      </c>
    </row>
    <row r="20" spans="2:7">
      <c r="B20" s="1" t="s">
        <v>44</v>
      </c>
      <c r="C20" t="s">
        <v>18</v>
      </c>
      <c r="D20" s="1" t="s">
        <v>3</v>
      </c>
      <c r="E20" t="s">
        <v>12</v>
      </c>
      <c r="F20" s="1">
        <v>37</v>
      </c>
      <c r="G20" s="2">
        <v>39.9</v>
      </c>
    </row>
    <row r="21" spans="2:7">
      <c r="B21" s="1" t="s">
        <v>45</v>
      </c>
      <c r="C21" t="s">
        <v>18</v>
      </c>
      <c r="D21" s="1" t="s">
        <v>4</v>
      </c>
      <c r="E21" t="s">
        <v>12</v>
      </c>
      <c r="F21" s="1">
        <v>16</v>
      </c>
      <c r="G21" s="2">
        <v>42.5</v>
      </c>
    </row>
    <row r="22" spans="2:7">
      <c r="B22" s="1" t="s">
        <v>46</v>
      </c>
      <c r="C22" t="s">
        <v>9</v>
      </c>
      <c r="D22" s="1" t="s">
        <v>2</v>
      </c>
      <c r="E22" t="s">
        <v>12</v>
      </c>
      <c r="F22" s="1">
        <v>43</v>
      </c>
      <c r="G22" s="2">
        <v>25.9</v>
      </c>
    </row>
    <row r="23" spans="2:7">
      <c r="B23" s="1" t="s">
        <v>47</v>
      </c>
      <c r="C23" t="s">
        <v>17</v>
      </c>
      <c r="D23" s="1" t="s">
        <v>3</v>
      </c>
      <c r="E23" t="s">
        <v>12</v>
      </c>
      <c r="F23" s="1">
        <v>46</v>
      </c>
      <c r="G23" s="2">
        <v>29.9</v>
      </c>
    </row>
    <row r="24" spans="2:7">
      <c r="B24" s="1" t="s">
        <v>48</v>
      </c>
      <c r="C24" t="s">
        <v>17</v>
      </c>
      <c r="D24" s="1" t="s">
        <v>4</v>
      </c>
      <c r="E24" t="s">
        <v>12</v>
      </c>
      <c r="F24" s="1">
        <v>40</v>
      </c>
      <c r="G24" s="2">
        <v>32.9</v>
      </c>
    </row>
    <row r="25" spans="2:7">
      <c r="B25" s="1" t="s">
        <v>49</v>
      </c>
      <c r="C25" t="s">
        <v>7</v>
      </c>
      <c r="D25" s="1" t="s">
        <v>8</v>
      </c>
      <c r="E25" t="s">
        <v>13</v>
      </c>
      <c r="F25" s="1">
        <v>2</v>
      </c>
      <c r="G25" s="2">
        <v>49.9</v>
      </c>
    </row>
    <row r="26" spans="2:7">
      <c r="B26" s="1" t="s">
        <v>50</v>
      </c>
      <c r="C26" t="s">
        <v>22</v>
      </c>
      <c r="D26" s="1" t="s">
        <v>2</v>
      </c>
      <c r="E26" t="s">
        <v>12</v>
      </c>
      <c r="F26" s="1">
        <v>34</v>
      </c>
      <c r="G26" s="2">
        <v>299.89999999999998</v>
      </c>
    </row>
    <row r="27" spans="2:7">
      <c r="B27" s="1" t="s">
        <v>51</v>
      </c>
      <c r="C27" t="s">
        <v>22</v>
      </c>
      <c r="D27" s="1" t="s">
        <v>3</v>
      </c>
      <c r="E27" t="s">
        <v>12</v>
      </c>
      <c r="F27" s="1">
        <v>34</v>
      </c>
      <c r="G27" s="2">
        <v>302.89999999999998</v>
      </c>
    </row>
    <row r="28" spans="2:7">
      <c r="B28" s="1" t="s">
        <v>52</v>
      </c>
      <c r="C28" t="s">
        <v>22</v>
      </c>
      <c r="D28" s="1" t="s">
        <v>4</v>
      </c>
      <c r="E28" t="s">
        <v>12</v>
      </c>
      <c r="F28" s="1">
        <v>35</v>
      </c>
      <c r="G28" s="2">
        <v>300</v>
      </c>
    </row>
    <row r="29" spans="2:7">
      <c r="B29" s="1" t="s">
        <v>53</v>
      </c>
      <c r="C29" t="s">
        <v>21</v>
      </c>
      <c r="D29" s="1" t="s">
        <v>2</v>
      </c>
      <c r="E29" t="s">
        <v>12</v>
      </c>
      <c r="F29" s="1">
        <v>49</v>
      </c>
      <c r="G29" s="2">
        <v>249.9</v>
      </c>
    </row>
    <row r="30" spans="2:7">
      <c r="B30" s="1" t="s">
        <v>54</v>
      </c>
      <c r="C30" t="s">
        <v>21</v>
      </c>
      <c r="D30" s="1" t="s">
        <v>3</v>
      </c>
      <c r="E30" t="s">
        <v>12</v>
      </c>
      <c r="F30" s="1">
        <v>16</v>
      </c>
      <c r="G30" s="2">
        <v>259.89999999999998</v>
      </c>
    </row>
    <row r="31" spans="2:7">
      <c r="B31" s="1" t="s">
        <v>55</v>
      </c>
      <c r="C31" t="s">
        <v>21</v>
      </c>
      <c r="D31" s="1" t="s">
        <v>4</v>
      </c>
      <c r="E31" t="s">
        <v>12</v>
      </c>
      <c r="F31" s="1">
        <v>41</v>
      </c>
      <c r="G31" s="2">
        <v>299.89999999999998</v>
      </c>
    </row>
    <row r="32" spans="2:7">
      <c r="B32" s="1" t="s">
        <v>56</v>
      </c>
      <c r="C32" t="s">
        <v>20</v>
      </c>
      <c r="D32" s="1" t="s">
        <v>8</v>
      </c>
      <c r="E32" t="s">
        <v>13</v>
      </c>
      <c r="F32" s="1">
        <v>32</v>
      </c>
      <c r="G32" s="2">
        <v>349.9</v>
      </c>
    </row>
    <row r="33" spans="2:7">
      <c r="B33" s="1" t="s">
        <v>57</v>
      </c>
      <c r="C33" t="s">
        <v>19</v>
      </c>
      <c r="D33" s="1" t="s">
        <v>8</v>
      </c>
      <c r="E33" t="s">
        <v>13</v>
      </c>
      <c r="F33" s="1">
        <v>45</v>
      </c>
      <c r="G33" s="2">
        <v>120</v>
      </c>
    </row>
    <row r="34" spans="2:7">
      <c r="B34" s="1" t="s">
        <v>58</v>
      </c>
      <c r="C34" t="s">
        <v>27</v>
      </c>
      <c r="D34" s="1">
        <v>36</v>
      </c>
      <c r="E34" t="s">
        <v>14</v>
      </c>
      <c r="F34" s="1">
        <v>37</v>
      </c>
      <c r="G34" s="2">
        <v>249.9</v>
      </c>
    </row>
    <row r="35" spans="2:7">
      <c r="B35" s="1" t="s">
        <v>59</v>
      </c>
      <c r="C35" t="s">
        <v>27</v>
      </c>
      <c r="D35" s="1">
        <v>37</v>
      </c>
      <c r="E35" t="s">
        <v>14</v>
      </c>
      <c r="F35" s="1">
        <v>41</v>
      </c>
      <c r="G35" s="2">
        <v>255</v>
      </c>
    </row>
    <row r="36" spans="2:7">
      <c r="B36" s="1" t="s">
        <v>60</v>
      </c>
      <c r="C36" t="s">
        <v>27</v>
      </c>
      <c r="D36" s="1">
        <v>38</v>
      </c>
      <c r="E36" t="s">
        <v>14</v>
      </c>
      <c r="F36" s="1">
        <v>30</v>
      </c>
      <c r="G36" s="2">
        <v>259.89999999999998</v>
      </c>
    </row>
    <row r="37" spans="2:7">
      <c r="B37" s="1" t="s">
        <v>61</v>
      </c>
      <c r="C37" t="s">
        <v>113</v>
      </c>
      <c r="D37" s="1">
        <v>36</v>
      </c>
      <c r="E37" t="s">
        <v>14</v>
      </c>
      <c r="F37" s="1">
        <v>27</v>
      </c>
      <c r="G37" s="2">
        <v>245</v>
      </c>
    </row>
    <row r="38" spans="2:7">
      <c r="B38" s="1" t="s">
        <v>62</v>
      </c>
      <c r="C38" t="s">
        <v>113</v>
      </c>
      <c r="D38" s="1">
        <v>37</v>
      </c>
      <c r="E38" t="s">
        <v>14</v>
      </c>
      <c r="F38" s="1">
        <v>41</v>
      </c>
      <c r="G38" s="2">
        <v>250</v>
      </c>
    </row>
    <row r="39" spans="2:7">
      <c r="B39" s="1" t="s">
        <v>63</v>
      </c>
      <c r="C39" t="s">
        <v>113</v>
      </c>
      <c r="D39" s="1">
        <v>38</v>
      </c>
      <c r="E39" t="s">
        <v>14</v>
      </c>
      <c r="F39" s="1">
        <v>43</v>
      </c>
      <c r="G39" s="2">
        <v>259.89999999999998</v>
      </c>
    </row>
    <row r="40" spans="2:7">
      <c r="B40" s="1" t="s">
        <v>64</v>
      </c>
      <c r="C40" t="s">
        <v>25</v>
      </c>
      <c r="D40" s="1" t="s">
        <v>2</v>
      </c>
      <c r="E40" t="s">
        <v>12</v>
      </c>
      <c r="F40" s="1">
        <v>43</v>
      </c>
      <c r="G40" s="2">
        <v>89.9</v>
      </c>
    </row>
    <row r="41" spans="2:7">
      <c r="B41" s="1" t="s">
        <v>65</v>
      </c>
      <c r="C41" t="s">
        <v>25</v>
      </c>
      <c r="D41" s="1" t="s">
        <v>3</v>
      </c>
      <c r="E41" t="s">
        <v>12</v>
      </c>
      <c r="F41" s="1">
        <v>18</v>
      </c>
      <c r="G41" s="2">
        <v>91.4</v>
      </c>
    </row>
    <row r="42" spans="2:7">
      <c r="B42" s="1" t="s">
        <v>66</v>
      </c>
      <c r="C42" t="s">
        <v>25</v>
      </c>
      <c r="D42" s="1" t="s">
        <v>4</v>
      </c>
      <c r="E42" t="s">
        <v>12</v>
      </c>
      <c r="F42" s="1">
        <v>45</v>
      </c>
      <c r="G42" s="2">
        <v>93.5</v>
      </c>
    </row>
    <row r="43" spans="2:7">
      <c r="B43" s="1" t="s">
        <v>67</v>
      </c>
      <c r="C43" t="s">
        <v>24</v>
      </c>
      <c r="D43" s="1" t="s">
        <v>2</v>
      </c>
      <c r="E43" t="s">
        <v>12</v>
      </c>
      <c r="F43" s="1">
        <v>34</v>
      </c>
      <c r="G43" s="2">
        <v>140</v>
      </c>
    </row>
    <row r="44" spans="2:7">
      <c r="B44" s="1" t="s">
        <v>68</v>
      </c>
      <c r="C44" t="s">
        <v>24</v>
      </c>
      <c r="D44" s="1" t="s">
        <v>3</v>
      </c>
      <c r="E44" t="s">
        <v>12</v>
      </c>
      <c r="F44" s="1">
        <v>47</v>
      </c>
      <c r="G44" s="2">
        <v>142.9</v>
      </c>
    </row>
    <row r="45" spans="2:7">
      <c r="B45" s="1" t="s">
        <v>69</v>
      </c>
      <c r="C45" t="s">
        <v>24</v>
      </c>
      <c r="D45" s="1" t="s">
        <v>4</v>
      </c>
      <c r="E45" t="s">
        <v>12</v>
      </c>
      <c r="F45" s="1">
        <v>50</v>
      </c>
      <c r="G45" s="2">
        <v>146</v>
      </c>
    </row>
    <row r="46" spans="2:7">
      <c r="B46" s="1" t="s">
        <v>85</v>
      </c>
      <c r="C46" t="s">
        <v>109</v>
      </c>
      <c r="D46" s="1" t="s">
        <v>2</v>
      </c>
      <c r="E46" t="s">
        <v>12</v>
      </c>
      <c r="F46" s="1">
        <v>16</v>
      </c>
      <c r="G46" s="9">
        <v>70</v>
      </c>
    </row>
    <row r="47" spans="2:7">
      <c r="B47" s="1" t="s">
        <v>86</v>
      </c>
      <c r="C47" t="s">
        <v>109</v>
      </c>
      <c r="D47" s="1" t="s">
        <v>3</v>
      </c>
      <c r="E47" t="s">
        <v>12</v>
      </c>
      <c r="F47" s="1">
        <v>21</v>
      </c>
      <c r="G47" s="9">
        <v>54.9</v>
      </c>
    </row>
    <row r="48" spans="2:7">
      <c r="B48" s="1" t="s">
        <v>87</v>
      </c>
      <c r="C48" t="s">
        <v>109</v>
      </c>
      <c r="D48" s="1" t="s">
        <v>4</v>
      </c>
      <c r="E48" t="s">
        <v>12</v>
      </c>
      <c r="F48" s="1">
        <v>43</v>
      </c>
      <c r="G48" s="9">
        <v>54.9</v>
      </c>
    </row>
    <row r="49" spans="2:7">
      <c r="B49" s="1" t="s">
        <v>88</v>
      </c>
      <c r="C49" t="s">
        <v>89</v>
      </c>
      <c r="D49" s="1" t="s">
        <v>2</v>
      </c>
      <c r="E49" t="s">
        <v>12</v>
      </c>
      <c r="F49" s="1">
        <v>43</v>
      </c>
      <c r="G49" s="9">
        <v>72.5</v>
      </c>
    </row>
    <row r="50" spans="2:7">
      <c r="B50" s="1" t="s">
        <v>90</v>
      </c>
      <c r="C50" t="s">
        <v>89</v>
      </c>
      <c r="D50" s="1" t="s">
        <v>3</v>
      </c>
      <c r="E50" t="s">
        <v>12</v>
      </c>
      <c r="F50" s="1">
        <v>41</v>
      </c>
      <c r="G50" s="9">
        <v>72.5</v>
      </c>
    </row>
    <row r="51" spans="2:7">
      <c r="B51" s="1" t="s">
        <v>91</v>
      </c>
      <c r="C51" t="s">
        <v>89</v>
      </c>
      <c r="D51" s="1" t="s">
        <v>4</v>
      </c>
      <c r="E51" t="s">
        <v>12</v>
      </c>
      <c r="F51" s="1">
        <v>49</v>
      </c>
      <c r="G51" s="9">
        <v>72.5</v>
      </c>
    </row>
    <row r="52" spans="2:7">
      <c r="B52" s="1" t="s">
        <v>92</v>
      </c>
      <c r="C52" t="s">
        <v>93</v>
      </c>
      <c r="D52" s="1" t="s">
        <v>2</v>
      </c>
      <c r="E52" t="s">
        <v>12</v>
      </c>
      <c r="F52" s="1">
        <v>15</v>
      </c>
      <c r="G52" s="9">
        <v>289.89999999999998</v>
      </c>
    </row>
    <row r="53" spans="2:7">
      <c r="B53" s="1" t="s">
        <v>94</v>
      </c>
      <c r="C53" t="s">
        <v>93</v>
      </c>
      <c r="D53" s="1" t="s">
        <v>3</v>
      </c>
      <c r="E53" t="s">
        <v>12</v>
      </c>
      <c r="F53" s="1">
        <v>34</v>
      </c>
      <c r="G53" s="9">
        <v>289.89999999999998</v>
      </c>
    </row>
    <row r="54" spans="2:7">
      <c r="B54" s="1" t="s">
        <v>95</v>
      </c>
      <c r="C54" t="s">
        <v>93</v>
      </c>
      <c r="D54" s="1" t="s">
        <v>4</v>
      </c>
      <c r="E54" t="s">
        <v>12</v>
      </c>
      <c r="F54" s="1">
        <v>21</v>
      </c>
      <c r="G54" s="9">
        <v>289.89999999999998</v>
      </c>
    </row>
    <row r="55" spans="2:7">
      <c r="B55" s="1" t="s">
        <v>96</v>
      </c>
      <c r="C55" t="s">
        <v>97</v>
      </c>
      <c r="D55" s="1" t="s">
        <v>2</v>
      </c>
      <c r="E55" t="s">
        <v>12</v>
      </c>
      <c r="F55" s="1">
        <v>40</v>
      </c>
      <c r="G55" s="9">
        <v>32.9</v>
      </c>
    </row>
    <row r="56" spans="2:7">
      <c r="B56" s="1" t="s">
        <v>98</v>
      </c>
      <c r="C56" t="s">
        <v>97</v>
      </c>
      <c r="D56" s="1" t="s">
        <v>3</v>
      </c>
      <c r="E56" t="s">
        <v>12</v>
      </c>
      <c r="F56" s="1">
        <v>42</v>
      </c>
      <c r="G56" s="9">
        <v>32.9</v>
      </c>
    </row>
    <row r="57" spans="2:7">
      <c r="B57" s="1" t="s">
        <v>99</v>
      </c>
      <c r="C57" t="s">
        <v>97</v>
      </c>
      <c r="D57" s="1" t="s">
        <v>4</v>
      </c>
      <c r="E57" t="s">
        <v>12</v>
      </c>
      <c r="F57" s="1">
        <v>48</v>
      </c>
      <c r="G57" s="9">
        <v>32.9</v>
      </c>
    </row>
    <row r="58" spans="2:7">
      <c r="B58" s="1" t="s">
        <v>100</v>
      </c>
      <c r="C58" t="s">
        <v>101</v>
      </c>
      <c r="D58" s="1" t="s">
        <v>2</v>
      </c>
      <c r="E58" t="s">
        <v>12</v>
      </c>
      <c r="F58" s="1">
        <v>35</v>
      </c>
      <c r="G58" s="9">
        <v>49.9</v>
      </c>
    </row>
    <row r="59" spans="2:7">
      <c r="B59" s="1" t="s">
        <v>102</v>
      </c>
      <c r="C59" t="s">
        <v>101</v>
      </c>
      <c r="D59" s="1" t="s">
        <v>3</v>
      </c>
      <c r="E59" t="s">
        <v>12</v>
      </c>
      <c r="F59" s="1">
        <v>40</v>
      </c>
      <c r="G59" s="9">
        <v>49.9</v>
      </c>
    </row>
    <row r="60" spans="2:7">
      <c r="B60" s="1" t="s">
        <v>103</v>
      </c>
      <c r="C60" t="s">
        <v>101</v>
      </c>
      <c r="D60" s="1" t="s">
        <v>4</v>
      </c>
      <c r="E60" t="s">
        <v>12</v>
      </c>
      <c r="F60" s="1">
        <v>18</v>
      </c>
      <c r="G60" s="9">
        <v>49.9</v>
      </c>
    </row>
    <row r="61" spans="2:7">
      <c r="B61" s="1" t="s">
        <v>104</v>
      </c>
      <c r="C61" t="s">
        <v>106</v>
      </c>
      <c r="D61" s="1">
        <v>35</v>
      </c>
      <c r="E61" t="s">
        <v>14</v>
      </c>
      <c r="F61" s="1">
        <v>48</v>
      </c>
      <c r="G61" s="9">
        <v>89.9</v>
      </c>
    </row>
    <row r="62" spans="2:7">
      <c r="B62" s="1" t="s">
        <v>105</v>
      </c>
      <c r="C62" t="s">
        <v>106</v>
      </c>
      <c r="D62" s="1">
        <v>36</v>
      </c>
      <c r="E62" t="s">
        <v>14</v>
      </c>
      <c r="F62" s="1">
        <v>38</v>
      </c>
      <c r="G62" s="2">
        <v>89.9</v>
      </c>
    </row>
    <row r="63" spans="2:7">
      <c r="B63" s="1" t="s">
        <v>107</v>
      </c>
      <c r="C63" t="s">
        <v>106</v>
      </c>
      <c r="D63" s="1">
        <v>37</v>
      </c>
      <c r="E63" t="s">
        <v>14</v>
      </c>
      <c r="F63" s="1">
        <v>45</v>
      </c>
      <c r="G63" s="2">
        <v>89.9</v>
      </c>
    </row>
    <row r="64" spans="2:7">
      <c r="B64" s="1" t="s">
        <v>108</v>
      </c>
      <c r="C64" t="s">
        <v>110</v>
      </c>
      <c r="D64" s="1" t="s">
        <v>2</v>
      </c>
      <c r="E64" t="s">
        <v>12</v>
      </c>
      <c r="F64" s="1">
        <v>40</v>
      </c>
      <c r="G64" s="2">
        <v>180</v>
      </c>
    </row>
    <row r="65" spans="2:7">
      <c r="B65" s="1" t="s">
        <v>111</v>
      </c>
      <c r="C65" t="s">
        <v>110</v>
      </c>
      <c r="D65" s="1" t="s">
        <v>3</v>
      </c>
      <c r="E65" t="s">
        <v>12</v>
      </c>
      <c r="F65" s="1">
        <v>35</v>
      </c>
      <c r="G65" s="2">
        <v>180</v>
      </c>
    </row>
    <row r="66" spans="2:7">
      <c r="B66" s="1" t="s">
        <v>112</v>
      </c>
      <c r="C66" t="s">
        <v>110</v>
      </c>
      <c r="D66" s="1" t="s">
        <v>4</v>
      </c>
      <c r="E66" t="s">
        <v>12</v>
      </c>
      <c r="F66" s="1">
        <v>35</v>
      </c>
      <c r="G66" s="2">
        <v>180</v>
      </c>
    </row>
    <row r="67" spans="2:7">
      <c r="B67" s="1" t="s">
        <v>149</v>
      </c>
      <c r="C67" s="1" t="s">
        <v>150</v>
      </c>
      <c r="D67" s="1" t="s">
        <v>2</v>
      </c>
      <c r="E67" t="s">
        <v>151</v>
      </c>
      <c r="F67" s="1">
        <v>10</v>
      </c>
      <c r="G67" s="2">
        <v>150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sheetPr codeName="Planilha3"/>
  <dimension ref="A1:E9"/>
  <sheetViews>
    <sheetView workbookViewId="0">
      <selection activeCell="B4" sqref="B4"/>
    </sheetView>
  </sheetViews>
  <sheetFormatPr defaultRowHeight="14.4"/>
  <cols>
    <col min="1" max="1" width="14.6640625" bestFit="1" customWidth="1"/>
    <col min="2" max="2" width="27.5546875" customWidth="1"/>
    <col min="3" max="3" width="25.6640625" customWidth="1"/>
    <col min="4" max="4" width="22.109375" customWidth="1"/>
  </cols>
  <sheetData>
    <row r="1" spans="1:5" s="16" customFormat="1" ht="40.200000000000003" customHeight="1">
      <c r="A1" s="19"/>
      <c r="B1" s="70" t="s">
        <v>122</v>
      </c>
      <c r="C1" s="70"/>
      <c r="D1" s="21"/>
      <c r="E1" s="21"/>
    </row>
    <row r="2" spans="1:5" s="17" customFormat="1" ht="4.5" customHeight="1">
      <c r="A2" s="20"/>
      <c r="B2" s="20"/>
    </row>
    <row r="3" spans="1:5" ht="4.5" customHeight="1" thickBot="1">
      <c r="A3" s="18"/>
      <c r="B3" s="18"/>
    </row>
    <row r="4" spans="1:5" ht="21.6">
      <c r="A4" s="24" t="s">
        <v>30</v>
      </c>
      <c r="B4" s="30" t="s">
        <v>72</v>
      </c>
      <c r="C4" s="30" t="s">
        <v>133</v>
      </c>
      <c r="D4" s="25" t="s">
        <v>134</v>
      </c>
    </row>
    <row r="5" spans="1:5" ht="22.5" customHeight="1">
      <c r="A5" s="36" t="s">
        <v>115</v>
      </c>
      <c r="B5" s="29" t="s">
        <v>71</v>
      </c>
      <c r="C5" s="29" t="s">
        <v>135</v>
      </c>
      <c r="D5" s="39">
        <v>0.2</v>
      </c>
    </row>
    <row r="6" spans="1:5" ht="22.5" customHeight="1">
      <c r="A6" s="36" t="s">
        <v>116</v>
      </c>
      <c r="B6" s="29" t="s">
        <v>73</v>
      </c>
      <c r="C6" s="29" t="s">
        <v>136</v>
      </c>
      <c r="D6" s="39">
        <v>0.25</v>
      </c>
    </row>
    <row r="7" spans="1:5" ht="22.5" customHeight="1">
      <c r="A7" s="36" t="s">
        <v>117</v>
      </c>
      <c r="B7" s="29" t="s">
        <v>70</v>
      </c>
      <c r="C7" s="29" t="s">
        <v>137</v>
      </c>
      <c r="D7" s="39">
        <v>0.1</v>
      </c>
    </row>
    <row r="8" spans="1:5" ht="22.5" customHeight="1">
      <c r="A8" s="36" t="s">
        <v>118</v>
      </c>
      <c r="B8" s="29" t="s">
        <v>120</v>
      </c>
      <c r="C8" s="29" t="s">
        <v>138</v>
      </c>
      <c r="D8" s="39">
        <v>0.2</v>
      </c>
    </row>
    <row r="9" spans="1:5" ht="22.5" customHeight="1" thickBot="1">
      <c r="A9" s="37" t="s">
        <v>119</v>
      </c>
      <c r="B9" s="38" t="s">
        <v>121</v>
      </c>
      <c r="C9" s="38" t="s">
        <v>139</v>
      </c>
      <c r="D9" s="40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sheetPr codeName="Planilha5"/>
  <dimension ref="A1:M86"/>
  <sheetViews>
    <sheetView topLeftCell="B1" zoomScaleNormal="100" workbookViewId="0">
      <selection activeCell="B4" sqref="B4:M86"/>
    </sheetView>
  </sheetViews>
  <sheetFormatPr defaultRowHeight="14.4"/>
  <cols>
    <col min="1" max="1" width="8.88671875" style="1" hidden="1" customWidth="1"/>
    <col min="2" max="2" width="11.5546875" style="1" bestFit="1" customWidth="1"/>
    <col min="3" max="3" width="11.5546875" style="1" customWidth="1"/>
    <col min="4" max="4" width="17.109375" style="1" bestFit="1" customWidth="1"/>
    <col min="5" max="5" width="10.109375" bestFit="1" customWidth="1"/>
    <col min="6" max="6" width="22.88671875" bestFit="1" customWidth="1"/>
    <col min="7" max="7" width="13" bestFit="1" customWidth="1"/>
    <col min="8" max="8" width="22.21875" style="41" bestFit="1" customWidth="1"/>
    <col min="9" max="9" width="20.21875" bestFit="1" customWidth="1"/>
    <col min="10" max="10" width="24.5546875" bestFit="1" customWidth="1"/>
    <col min="11" max="11" width="17.88671875" bestFit="1" customWidth="1"/>
    <col min="12" max="12" width="11.88671875" bestFit="1" customWidth="1"/>
    <col min="13" max="13" width="17.33203125" bestFit="1" customWidth="1"/>
  </cols>
  <sheetData>
    <row r="1" spans="1:13" s="16" customFormat="1" ht="40.200000000000003" customHeight="1">
      <c r="A1" s="19"/>
      <c r="B1" s="23" t="s">
        <v>123</v>
      </c>
      <c r="C1" s="21"/>
      <c r="D1" s="21"/>
      <c r="E1" s="21"/>
      <c r="F1" s="21"/>
      <c r="G1" s="21"/>
      <c r="H1" s="45"/>
      <c r="I1" s="21"/>
      <c r="J1" s="21"/>
      <c r="K1" s="21"/>
      <c r="L1" s="21"/>
      <c r="M1" s="21"/>
    </row>
    <row r="2" spans="1:13" s="17" customFormat="1" ht="4.5" customHeight="1">
      <c r="A2" s="20"/>
      <c r="B2" s="20"/>
      <c r="C2" s="20"/>
      <c r="D2" s="20"/>
      <c r="E2" s="20"/>
      <c r="H2" s="46"/>
    </row>
    <row r="3" spans="1:13" ht="4.5" customHeight="1" thickBot="1">
      <c r="A3" s="18"/>
      <c r="B3" s="18"/>
      <c r="C3" s="18"/>
      <c r="D3" s="18"/>
      <c r="E3" s="18"/>
    </row>
    <row r="4" spans="1:13" ht="21.6">
      <c r="A4" s="5" t="s">
        <v>114</v>
      </c>
      <c r="B4" s="12" t="s">
        <v>74</v>
      </c>
      <c r="C4" s="12" t="s">
        <v>30</v>
      </c>
      <c r="D4" s="12" t="s">
        <v>10</v>
      </c>
      <c r="E4" s="12" t="s">
        <v>15</v>
      </c>
      <c r="F4" s="12" t="s">
        <v>11</v>
      </c>
      <c r="G4" s="44" t="s">
        <v>145</v>
      </c>
      <c r="H4" s="47" t="s">
        <v>146</v>
      </c>
      <c r="I4" s="12" t="s">
        <v>144</v>
      </c>
      <c r="J4" s="12" t="s">
        <v>142</v>
      </c>
      <c r="K4" s="12" t="s">
        <v>143</v>
      </c>
      <c r="L4" s="13" t="s">
        <v>16</v>
      </c>
      <c r="M4" s="30" t="s">
        <v>72</v>
      </c>
    </row>
    <row r="5" spans="1:13">
      <c r="A5" s="4">
        <f>MONTH(TB_Vendas[[#This Row],[Data]])</f>
        <v>1</v>
      </c>
      <c r="B5" s="3">
        <v>44931</v>
      </c>
      <c r="C5" s="4" t="s">
        <v>36</v>
      </c>
      <c r="D5" s="4" t="str" cm="1">
        <f t="array" ref="D5">_xlfn.XLOOKUP(TB_Vendas[[#This Row],[Código]],TB_Produtos[[#All],[Código]],TB_Produtos[[#All],[Categoria]])</f>
        <v>Acessórios</v>
      </c>
      <c r="E5" s="1">
        <v>1</v>
      </c>
      <c r="F5" s="8">
        <f>VLOOKUP(TB_Vendas[[#This Row],[Código]],TB_Produtos[#All],6,FALSE)</f>
        <v>39.9</v>
      </c>
      <c r="G5" s="1">
        <f>_xlfn.XMATCH(TB_Vendas[[#This Row],[Categoria]],Desc_Categoria)</f>
        <v>2</v>
      </c>
      <c r="H5" s="42">
        <f>VLOOKUP(TB_Vendas[[#This Row],[Qtd]],Desc_Tabela,TB_Vendas[[#This Row],[Índice]])</f>
        <v>0</v>
      </c>
      <c r="I5" s="42" cm="1">
        <f t="array" ref="I5">INDEX(Desc_TabelaTotal,MATCH(TB_Vendas[[#This Row],[Qtd]],Desc_Qtde,1),MATCH(_xlfn.XLOOKUP(C5,TB_Produtos[[#All],[Código]],TB_Produtos[[#All],[Categoria]]),Desc_Categoria,0))</f>
        <v>0</v>
      </c>
      <c r="J5" s="42">
        <f>_xlfn.XLOOKUP(TB_Vendas[[#This Row],[Vendedor]],Vendedores!$A$4:$A$9,Vendedores!$D$5:$D$10)</f>
        <v>0.1</v>
      </c>
      <c r="K5" s="42">
        <f>IF(TB_Vendas[[#This Row],[Desc_Direto]]&gt;TB_Vendas[[#This Row],[Desc_Vendedor]],TB_Vendas[[#This Row],[Desc_Vendedor]],TB_Vendas[[#This Row],[Desc_Direto]])</f>
        <v>0</v>
      </c>
      <c r="L5" s="2">
        <f>TB_Vendas[[#This Row],[Preço Unitário]]*TB_Vendas[[#This Row],[Qtd]]</f>
        <v>39.9</v>
      </c>
      <c r="M5" s="1" t="s">
        <v>116</v>
      </c>
    </row>
    <row r="6" spans="1:13">
      <c r="A6" s="4">
        <f>MONTH(TB_Vendas[[#This Row],[Data]])</f>
        <v>1</v>
      </c>
      <c r="B6" s="3">
        <v>44932</v>
      </c>
      <c r="C6" s="4" t="s">
        <v>35</v>
      </c>
      <c r="D6" s="4" t="str" cm="1">
        <f t="array" ref="D6">_xlfn.XLOOKUP(TB_Vendas[[#This Row],[Código]],TB_Produtos[[#All],[Código]],TB_Produtos[[#All],[Categoria]])</f>
        <v>Acessórios</v>
      </c>
      <c r="E6" s="1">
        <v>1</v>
      </c>
      <c r="F6" s="8">
        <f>VLOOKUP(TB_Vendas[[#This Row],[Código]],TB_Produtos[#All],6,FALSE)</f>
        <v>259.89999999999998</v>
      </c>
      <c r="G6" s="1">
        <f>_xlfn.XMATCH(TB_Vendas[[#This Row],[Categoria]],Desc_Categoria)</f>
        <v>2</v>
      </c>
      <c r="H6" s="42">
        <f>VLOOKUP(TB_Vendas[[#This Row],[Qtd]],Desc_Tabela,TB_Vendas[[#This Row],[Índice]])</f>
        <v>0</v>
      </c>
      <c r="I6" s="42" cm="1">
        <f t="array" ref="I6">INDEX(Desc_TabelaTotal,MATCH(TB_Vendas[[#This Row],[Qtd]],Desc_Qtde,1),MATCH(_xlfn.XLOOKUP(C6,TB_Produtos[[#All],[Código]],TB_Produtos[[#All],[Categoria]]),Desc_Categoria,0))</f>
        <v>0</v>
      </c>
      <c r="J6" s="42">
        <f>_xlfn.XLOOKUP(TB_Vendas[[#This Row],[Vendedor]],Vendedores!$A$4:$A$9,Vendedores!$D$5:$D$10)</f>
        <v>0.1</v>
      </c>
      <c r="K6" s="42">
        <f>IF(TB_Vendas[[#This Row],[Desc_Direto]]&gt;TB_Vendas[[#This Row],[Desc_Vendedor]],TB_Vendas[[#This Row],[Desc_Vendedor]],TB_Vendas[[#This Row],[Desc_Direto]])</f>
        <v>0</v>
      </c>
      <c r="L6" s="2">
        <f>TB_Vendas[[#This Row],[Preço Unitário]]*TB_Vendas[[#This Row],[Qtd]]</f>
        <v>259.89999999999998</v>
      </c>
      <c r="M6" s="1" t="s">
        <v>116</v>
      </c>
    </row>
    <row r="7" spans="1:13">
      <c r="A7" s="4">
        <f>MONTH(TB_Vendas[[#This Row],[Data]])</f>
        <v>1</v>
      </c>
      <c r="B7" s="3">
        <v>44933</v>
      </c>
      <c r="C7" s="4" t="s">
        <v>99</v>
      </c>
      <c r="D7" s="4" t="str" cm="1">
        <f t="array" ref="D7">_xlfn.XLOOKUP(TB_Vendas[[#This Row],[Código]],TB_Produtos[[#All],[Código]],TB_Produtos[[#All],[Categoria]])</f>
        <v>Vestuário</v>
      </c>
      <c r="E7" s="1">
        <v>2</v>
      </c>
      <c r="F7" s="8">
        <f>VLOOKUP(TB_Vendas[[#This Row],[Código]],TB_Produtos[#All],6,FALSE)</f>
        <v>32.9</v>
      </c>
      <c r="G7" s="1">
        <f>_xlfn.XMATCH(TB_Vendas[[#This Row],[Categoria]],Desc_Categoria)</f>
        <v>3</v>
      </c>
      <c r="H7" s="42">
        <f>VLOOKUP(TB_Vendas[[#This Row],[Qtd]],Desc_Tabela,TB_Vendas[[#This Row],[Índice]])</f>
        <v>0.15</v>
      </c>
      <c r="I7" s="42" cm="1">
        <f t="array" ref="I7">INDEX(Desc_TabelaTotal,MATCH(TB_Vendas[[#This Row],[Qtd]],Desc_Qtde,1),MATCH(_xlfn.XLOOKUP(C7,TB_Produtos[[#All],[Código]],TB_Produtos[[#All],[Categoria]]),Desc_Categoria,0))</f>
        <v>0.15</v>
      </c>
      <c r="J7" s="42">
        <f>_xlfn.XLOOKUP(TB_Vendas[[#This Row],[Vendedor]],Vendedores!$A$4:$A$9,Vendedores!$D$5:$D$10)</f>
        <v>0.25</v>
      </c>
      <c r="K7" s="42">
        <f>IF(TB_Vendas[[#This Row],[Desc_Direto]]&gt;TB_Vendas[[#This Row],[Desc_Vendedor]],TB_Vendas[[#This Row],[Desc_Vendedor]],TB_Vendas[[#This Row],[Desc_Direto]])</f>
        <v>0.15</v>
      </c>
      <c r="L7" s="2">
        <f>TB_Vendas[[#This Row],[Preço Unitário]]*TB_Vendas[[#This Row],[Qtd]]</f>
        <v>65.8</v>
      </c>
      <c r="M7" s="1" t="s">
        <v>115</v>
      </c>
    </row>
    <row r="8" spans="1:13">
      <c r="A8" s="4">
        <f>MONTH(TB_Vendas[[#This Row],[Data]])</f>
        <v>1</v>
      </c>
      <c r="B8" s="3">
        <v>44938</v>
      </c>
      <c r="C8" s="4" t="s">
        <v>41</v>
      </c>
      <c r="D8" s="4" t="str" cm="1">
        <f t="array" ref="D8">_xlfn.XLOOKUP(TB_Vendas[[#This Row],[Código]],TB_Produtos[[#All],[Código]],TB_Produtos[[#All],[Categoria]])</f>
        <v>Vestuário</v>
      </c>
      <c r="E8" s="1">
        <v>1</v>
      </c>
      <c r="F8" s="8">
        <f>VLOOKUP(TB_Vendas[[#This Row],[Código]],TB_Produtos[#All],6,FALSE)</f>
        <v>46.9</v>
      </c>
      <c r="G8" s="1">
        <f>_xlfn.XMATCH(TB_Vendas[[#This Row],[Categoria]],Desc_Categoria)</f>
        <v>3</v>
      </c>
      <c r="H8" s="42">
        <f>VLOOKUP(TB_Vendas[[#This Row],[Qtd]],Desc_Tabela,TB_Vendas[[#This Row],[Índice]])</f>
        <v>0.1</v>
      </c>
      <c r="I8" s="42" cm="1">
        <f t="array" ref="I8">INDEX(Desc_TabelaTotal,MATCH(TB_Vendas[[#This Row],[Qtd]],Desc_Qtde,1),MATCH(_xlfn.XLOOKUP(C8,TB_Produtos[[#All],[Código]],TB_Produtos[[#All],[Categoria]]),Desc_Categoria,0))</f>
        <v>0.1</v>
      </c>
      <c r="J8" s="42">
        <f>_xlfn.XLOOKUP(TB_Vendas[[#This Row],[Vendedor]],Vendedores!$A$4:$A$9,Vendedores!$D$5:$D$10)</f>
        <v>0</v>
      </c>
      <c r="K8" s="42">
        <f>IF(TB_Vendas[[#This Row],[Desc_Direto]]&gt;TB_Vendas[[#This Row],[Desc_Vendedor]],TB_Vendas[[#This Row],[Desc_Vendedor]],TB_Vendas[[#This Row],[Desc_Direto]])</f>
        <v>0</v>
      </c>
      <c r="L8" s="2">
        <f>TB_Vendas[[#This Row],[Preço Unitário]]*TB_Vendas[[#This Row],[Qtd]]</f>
        <v>46.9</v>
      </c>
      <c r="M8" s="1" t="s">
        <v>119</v>
      </c>
    </row>
    <row r="9" spans="1:13">
      <c r="A9" s="4">
        <f>MONTH(TB_Vendas[[#This Row],[Data]])</f>
        <v>1</v>
      </c>
      <c r="B9" s="3">
        <v>44939</v>
      </c>
      <c r="C9" s="4" t="s">
        <v>47</v>
      </c>
      <c r="D9" s="4" t="str" cm="1">
        <f t="array" ref="D9">_xlfn.XLOOKUP(TB_Vendas[[#This Row],[Código]],TB_Produtos[[#All],[Código]],TB_Produtos[[#All],[Categoria]])</f>
        <v>Vestuário</v>
      </c>
      <c r="E9" s="1">
        <v>1</v>
      </c>
      <c r="F9" s="8">
        <f>VLOOKUP(TB_Vendas[[#This Row],[Código]],TB_Produtos[#All],6,FALSE)</f>
        <v>29.9</v>
      </c>
      <c r="G9" s="1">
        <f>_xlfn.XMATCH(TB_Vendas[[#This Row],[Categoria]],Desc_Categoria)</f>
        <v>3</v>
      </c>
      <c r="H9" s="42">
        <f>VLOOKUP(TB_Vendas[[#This Row],[Qtd]],Desc_Tabela,TB_Vendas[[#This Row],[Índice]])</f>
        <v>0.1</v>
      </c>
      <c r="I9" s="42" cm="1">
        <f t="array" ref="I9">INDEX(Desc_TabelaTotal,MATCH(TB_Vendas[[#This Row],[Qtd]],Desc_Qtde,1),MATCH(_xlfn.XLOOKUP(C9,TB_Produtos[[#All],[Código]],TB_Produtos[[#All],[Categoria]]),Desc_Categoria,0))</f>
        <v>0.1</v>
      </c>
      <c r="J9" s="42">
        <f>_xlfn.XLOOKUP(TB_Vendas[[#This Row],[Vendedor]],Vendedores!$A$4:$A$9,Vendedores!$D$5:$D$10)</f>
        <v>0.1</v>
      </c>
      <c r="K9" s="42">
        <f>IF(TB_Vendas[[#This Row],[Desc_Direto]]&gt;TB_Vendas[[#This Row],[Desc_Vendedor]],TB_Vendas[[#This Row],[Desc_Vendedor]],TB_Vendas[[#This Row],[Desc_Direto]])</f>
        <v>0.1</v>
      </c>
      <c r="L9" s="2">
        <f>TB_Vendas[[#This Row],[Preço Unitário]]*TB_Vendas[[#This Row],[Qtd]]</f>
        <v>29.9</v>
      </c>
      <c r="M9" s="1" t="s">
        <v>116</v>
      </c>
    </row>
    <row r="10" spans="1:13">
      <c r="A10" s="4">
        <f>MONTH(TB_Vendas[[#This Row],[Data]])</f>
        <v>1</v>
      </c>
      <c r="B10" s="3">
        <v>44943</v>
      </c>
      <c r="C10" s="4" t="s">
        <v>55</v>
      </c>
      <c r="D10" s="4" t="str" cm="1">
        <f t="array" ref="D10">_xlfn.XLOOKUP(TB_Vendas[[#This Row],[Código]],TB_Produtos[[#All],[Código]],TB_Produtos[[#All],[Categoria]])</f>
        <v>Vestuário</v>
      </c>
      <c r="E10" s="1">
        <v>1</v>
      </c>
      <c r="F10" s="8">
        <f>VLOOKUP(TB_Vendas[[#This Row],[Código]],TB_Produtos[#All],6,FALSE)</f>
        <v>299.89999999999998</v>
      </c>
      <c r="G10" s="1">
        <f>_xlfn.XMATCH(TB_Vendas[[#This Row],[Categoria]],Desc_Categoria)</f>
        <v>3</v>
      </c>
      <c r="H10" s="42">
        <f>VLOOKUP(TB_Vendas[[#This Row],[Qtd]],Desc_Tabela,TB_Vendas[[#This Row],[Índice]])</f>
        <v>0.1</v>
      </c>
      <c r="I10" s="42" cm="1">
        <f t="array" ref="I10">INDEX(Desc_TabelaTotal,MATCH(TB_Vendas[[#This Row],[Qtd]],Desc_Qtde,1),MATCH(_xlfn.XLOOKUP(C10,TB_Produtos[[#All],[Código]],TB_Produtos[[#All],[Categoria]]),Desc_Categoria,0))</f>
        <v>0.1</v>
      </c>
      <c r="J10" s="42">
        <f>_xlfn.XLOOKUP(TB_Vendas[[#This Row],[Vendedor]],Vendedores!$A$4:$A$9,Vendedores!$D$5:$D$10)</f>
        <v>0</v>
      </c>
      <c r="K10" s="42">
        <f>IF(TB_Vendas[[#This Row],[Desc_Direto]]&gt;TB_Vendas[[#This Row],[Desc_Vendedor]],TB_Vendas[[#This Row],[Desc_Vendedor]],TB_Vendas[[#This Row],[Desc_Direto]])</f>
        <v>0</v>
      </c>
      <c r="L10" s="2">
        <f>TB_Vendas[[#This Row],[Preço Unitário]]*TB_Vendas[[#This Row],[Qtd]]</f>
        <v>299.89999999999998</v>
      </c>
      <c r="M10" s="1" t="s">
        <v>119</v>
      </c>
    </row>
    <row r="11" spans="1:13">
      <c r="A11" s="4">
        <f>MONTH(TB_Vendas[[#This Row],[Data]])</f>
        <v>1</v>
      </c>
      <c r="B11" s="3">
        <v>44949</v>
      </c>
      <c r="C11" s="4" t="s">
        <v>69</v>
      </c>
      <c r="D11" s="4" t="str" cm="1">
        <f t="array" ref="D11">_xlfn.XLOOKUP(TB_Vendas[[#This Row],[Código]],TB_Produtos[[#All],[Código]],TB_Produtos[[#All],[Categoria]])</f>
        <v>Vestuário</v>
      </c>
      <c r="E11" s="1">
        <v>1</v>
      </c>
      <c r="F11" s="8">
        <f>VLOOKUP(TB_Vendas[[#This Row],[Código]],TB_Produtos[#All],6,FALSE)</f>
        <v>146</v>
      </c>
      <c r="G11" s="1">
        <f>_xlfn.XMATCH(TB_Vendas[[#This Row],[Categoria]],Desc_Categoria)</f>
        <v>3</v>
      </c>
      <c r="H11" s="42">
        <f>VLOOKUP(TB_Vendas[[#This Row],[Qtd]],Desc_Tabela,TB_Vendas[[#This Row],[Índice]])</f>
        <v>0.1</v>
      </c>
      <c r="I11" s="42" cm="1">
        <f t="array" ref="I11">INDEX(Desc_TabelaTotal,MATCH(TB_Vendas[[#This Row],[Qtd]],Desc_Qtde,1),MATCH(_xlfn.XLOOKUP(C11,TB_Produtos[[#All],[Código]],TB_Produtos[[#All],[Categoria]]),Desc_Categoria,0))</f>
        <v>0.1</v>
      </c>
      <c r="J11" s="42">
        <f>_xlfn.XLOOKUP(TB_Vendas[[#This Row],[Vendedor]],Vendedores!$A$4:$A$9,Vendedores!$D$5:$D$10)</f>
        <v>0.2</v>
      </c>
      <c r="K11" s="42">
        <f>IF(TB_Vendas[[#This Row],[Desc_Direto]]&gt;TB_Vendas[[#This Row],[Desc_Vendedor]],TB_Vendas[[#This Row],[Desc_Vendedor]],TB_Vendas[[#This Row],[Desc_Direto]])</f>
        <v>0.1</v>
      </c>
      <c r="L11" s="2">
        <f>TB_Vendas[[#This Row],[Preço Unitário]]*TB_Vendas[[#This Row],[Qtd]]</f>
        <v>146</v>
      </c>
      <c r="M11" s="1" t="s">
        <v>117</v>
      </c>
    </row>
    <row r="12" spans="1:13">
      <c r="A12" s="4">
        <f>MONTH(TB_Vendas[[#This Row],[Data]])</f>
        <v>1</v>
      </c>
      <c r="B12" s="3">
        <v>44952</v>
      </c>
      <c r="C12" s="4" t="s">
        <v>64</v>
      </c>
      <c r="D12" s="4" t="str" cm="1">
        <f t="array" ref="D12">_xlfn.XLOOKUP(TB_Vendas[[#This Row],[Código]],TB_Produtos[[#All],[Código]],TB_Produtos[[#All],[Categoria]])</f>
        <v>Vestuário</v>
      </c>
      <c r="E12" s="1">
        <v>2</v>
      </c>
      <c r="F12" s="8">
        <f>VLOOKUP(TB_Vendas[[#This Row],[Código]],TB_Produtos[#All],6,FALSE)</f>
        <v>89.9</v>
      </c>
      <c r="G12" s="1">
        <f>_xlfn.XMATCH(TB_Vendas[[#This Row],[Categoria]],Desc_Categoria)</f>
        <v>3</v>
      </c>
      <c r="H12" s="42">
        <f>VLOOKUP(TB_Vendas[[#This Row],[Qtd]],Desc_Tabela,TB_Vendas[[#This Row],[Índice]])</f>
        <v>0.15</v>
      </c>
      <c r="I12" s="42" cm="1">
        <f t="array" ref="I12">INDEX(Desc_TabelaTotal,MATCH(TB_Vendas[[#This Row],[Qtd]],Desc_Qtde,1),MATCH(_xlfn.XLOOKUP(C12,TB_Produtos[[#All],[Código]],TB_Produtos[[#All],[Categoria]]),Desc_Categoria,0))</f>
        <v>0.15</v>
      </c>
      <c r="J12" s="42">
        <f>_xlfn.XLOOKUP(TB_Vendas[[#This Row],[Vendedor]],Vendedores!$A$4:$A$9,Vendedores!$D$5:$D$10)</f>
        <v>0.2</v>
      </c>
      <c r="K12" s="42">
        <f>IF(TB_Vendas[[#This Row],[Desc_Direto]]&gt;TB_Vendas[[#This Row],[Desc_Vendedor]],TB_Vendas[[#This Row],[Desc_Vendedor]],TB_Vendas[[#This Row],[Desc_Direto]])</f>
        <v>0.15</v>
      </c>
      <c r="L12" s="2">
        <f>TB_Vendas[[#This Row],[Preço Unitário]]*TB_Vendas[[#This Row],[Qtd]]</f>
        <v>179.8</v>
      </c>
      <c r="M12" s="1" t="s">
        <v>117</v>
      </c>
    </row>
    <row r="13" spans="1:13">
      <c r="A13" s="4">
        <f>MONTH(TB_Vendas[[#This Row],[Data]])</f>
        <v>1</v>
      </c>
      <c r="B13" s="3">
        <v>44954</v>
      </c>
      <c r="C13" s="4" t="s">
        <v>62</v>
      </c>
      <c r="D13" s="4" t="str" cm="1">
        <f t="array" ref="D13">_xlfn.XLOOKUP(TB_Vendas[[#This Row],[Código]],TB_Produtos[[#All],[Código]],TB_Produtos[[#All],[Categoria]])</f>
        <v>Calçado</v>
      </c>
      <c r="E13" s="1">
        <v>2</v>
      </c>
      <c r="F13" s="8">
        <f>VLOOKUP(TB_Vendas[[#This Row],[Código]],TB_Produtos[#All],6,FALSE)</f>
        <v>250</v>
      </c>
      <c r="G13" s="1">
        <f>_xlfn.XMATCH(TB_Vendas[[#This Row],[Categoria]],Desc_Categoria)</f>
        <v>4</v>
      </c>
      <c r="H13" s="42">
        <f>VLOOKUP(TB_Vendas[[#This Row],[Qtd]],Desc_Tabela,TB_Vendas[[#This Row],[Índice]])</f>
        <v>0.1</v>
      </c>
      <c r="I13" s="42" cm="1">
        <f t="array" ref="I13">INDEX(Desc_TabelaTotal,MATCH(TB_Vendas[[#This Row],[Qtd]],Desc_Qtde,1),MATCH(_xlfn.XLOOKUP(C13,TB_Produtos[[#All],[Código]],TB_Produtos[[#All],[Categoria]]),Desc_Categoria,0))</f>
        <v>0.1</v>
      </c>
      <c r="J13" s="42">
        <f>_xlfn.XLOOKUP(TB_Vendas[[#This Row],[Vendedor]],Vendedores!$A$4:$A$9,Vendedores!$D$5:$D$10)</f>
        <v>0.1</v>
      </c>
      <c r="K13" s="42">
        <f>IF(TB_Vendas[[#This Row],[Desc_Direto]]&gt;TB_Vendas[[#This Row],[Desc_Vendedor]],TB_Vendas[[#This Row],[Desc_Vendedor]],TB_Vendas[[#This Row],[Desc_Direto]])</f>
        <v>0.1</v>
      </c>
      <c r="L13" s="2">
        <f>TB_Vendas[[#This Row],[Preço Unitário]]*TB_Vendas[[#This Row],[Qtd]]</f>
        <v>500</v>
      </c>
      <c r="M13" s="1" t="s">
        <v>116</v>
      </c>
    </row>
    <row r="14" spans="1:13">
      <c r="A14" s="4">
        <f>MONTH(TB_Vendas[[#This Row],[Data]])</f>
        <v>1</v>
      </c>
      <c r="B14" s="3">
        <v>44955</v>
      </c>
      <c r="C14" s="4" t="s">
        <v>43</v>
      </c>
      <c r="D14" s="4" t="str" cm="1">
        <f t="array" ref="D14">_xlfn.XLOOKUP(TB_Vendas[[#This Row],[Código]],TB_Produtos[[#All],[Código]],TB_Produtos[[#All],[Categoria]])</f>
        <v>Vestuário</v>
      </c>
      <c r="E14" s="1">
        <v>1</v>
      </c>
      <c r="F14" s="8">
        <f>VLOOKUP(TB_Vendas[[#This Row],[Código]],TB_Produtos[#All],6,FALSE)</f>
        <v>39.9</v>
      </c>
      <c r="G14" s="1">
        <f>_xlfn.XMATCH(TB_Vendas[[#This Row],[Categoria]],Desc_Categoria)</f>
        <v>3</v>
      </c>
      <c r="H14" s="42">
        <f>VLOOKUP(TB_Vendas[[#This Row],[Qtd]],Desc_Tabela,TB_Vendas[[#This Row],[Índice]])</f>
        <v>0.1</v>
      </c>
      <c r="I14" s="42" cm="1">
        <f t="array" ref="I14">INDEX(Desc_TabelaTotal,MATCH(TB_Vendas[[#This Row],[Qtd]],Desc_Qtde,1),MATCH(_xlfn.XLOOKUP(C14,TB_Produtos[[#All],[Código]],TB_Produtos[[#All],[Categoria]]),Desc_Categoria,0))</f>
        <v>0.1</v>
      </c>
      <c r="J14" s="42">
        <f>_xlfn.XLOOKUP(TB_Vendas[[#This Row],[Vendedor]],Vendedores!$A$4:$A$9,Vendedores!$D$5:$D$10)</f>
        <v>0.1</v>
      </c>
      <c r="K14" s="42">
        <f>IF(TB_Vendas[[#This Row],[Desc_Direto]]&gt;TB_Vendas[[#This Row],[Desc_Vendedor]],TB_Vendas[[#This Row],[Desc_Vendedor]],TB_Vendas[[#This Row],[Desc_Direto]])</f>
        <v>0.1</v>
      </c>
      <c r="L14" s="2">
        <f>TB_Vendas[[#This Row],[Preço Unitário]]*TB_Vendas[[#This Row],[Qtd]]</f>
        <v>39.9</v>
      </c>
      <c r="M14" s="1" t="s">
        <v>116</v>
      </c>
    </row>
    <row r="15" spans="1:13">
      <c r="A15" s="4">
        <f>MONTH(TB_Vendas[[#This Row],[Data]])</f>
        <v>1</v>
      </c>
      <c r="B15" s="3">
        <v>44956</v>
      </c>
      <c r="C15" s="4" t="s">
        <v>68</v>
      </c>
      <c r="D15" s="4" t="str" cm="1">
        <f t="array" ref="D15">_xlfn.XLOOKUP(TB_Vendas[[#This Row],[Código]],TB_Produtos[[#All],[Código]],TB_Produtos[[#All],[Categoria]])</f>
        <v>Vestuário</v>
      </c>
      <c r="E15" s="1">
        <v>1</v>
      </c>
      <c r="F15" s="8">
        <f>VLOOKUP(TB_Vendas[[#This Row],[Código]],TB_Produtos[#All],6,FALSE)</f>
        <v>142.9</v>
      </c>
      <c r="G15" s="1">
        <f>_xlfn.XMATCH(TB_Vendas[[#This Row],[Categoria]],Desc_Categoria)</f>
        <v>3</v>
      </c>
      <c r="H15" s="42">
        <f>VLOOKUP(TB_Vendas[[#This Row],[Qtd]],Desc_Tabela,TB_Vendas[[#This Row],[Índice]])</f>
        <v>0.1</v>
      </c>
      <c r="I15" s="42" cm="1">
        <f t="array" ref="I15">INDEX(Desc_TabelaTotal,MATCH(TB_Vendas[[#This Row],[Qtd]],Desc_Qtde,1),MATCH(_xlfn.XLOOKUP(C15,TB_Produtos[[#All],[Código]],TB_Produtos[[#All],[Categoria]]),Desc_Categoria,0))</f>
        <v>0.1</v>
      </c>
      <c r="J15" s="42">
        <f>_xlfn.XLOOKUP(TB_Vendas[[#This Row],[Vendedor]],Vendedores!$A$4:$A$9,Vendedores!$D$5:$D$10)</f>
        <v>0.15</v>
      </c>
      <c r="K15" s="42">
        <f>IF(TB_Vendas[[#This Row],[Desc_Direto]]&gt;TB_Vendas[[#This Row],[Desc_Vendedor]],TB_Vendas[[#This Row],[Desc_Vendedor]],TB_Vendas[[#This Row],[Desc_Direto]])</f>
        <v>0.1</v>
      </c>
      <c r="L15" s="2">
        <f>TB_Vendas[[#This Row],[Preço Unitário]]*TB_Vendas[[#This Row],[Qtd]]</f>
        <v>142.9</v>
      </c>
      <c r="M15" s="1" t="s">
        <v>118</v>
      </c>
    </row>
    <row r="16" spans="1:13">
      <c r="A16" s="4">
        <f>MONTH(TB_Vendas[[#This Row],[Data]])</f>
        <v>2</v>
      </c>
      <c r="B16" s="3">
        <v>44960</v>
      </c>
      <c r="C16" s="4" t="s">
        <v>52</v>
      </c>
      <c r="D16" s="4" t="str" cm="1">
        <f t="array" ref="D16">_xlfn.XLOOKUP(TB_Vendas[[#This Row],[Código]],TB_Produtos[[#All],[Código]],TB_Produtos[[#All],[Categoria]])</f>
        <v>Vestuário</v>
      </c>
      <c r="E16" s="1">
        <v>1</v>
      </c>
      <c r="F16" s="8">
        <f>VLOOKUP(TB_Vendas[[#This Row],[Código]],TB_Produtos[#All],6,FALSE)</f>
        <v>300</v>
      </c>
      <c r="G16" s="1">
        <f>_xlfn.XMATCH(TB_Vendas[[#This Row],[Categoria]],Desc_Categoria)</f>
        <v>3</v>
      </c>
      <c r="H16" s="42">
        <f>VLOOKUP(TB_Vendas[[#This Row],[Qtd]],Desc_Tabela,TB_Vendas[[#This Row],[Índice]])</f>
        <v>0.1</v>
      </c>
      <c r="I16" s="42" cm="1">
        <f t="array" ref="I16">INDEX(Desc_TabelaTotal,MATCH(TB_Vendas[[#This Row],[Qtd]],Desc_Qtde,1),MATCH(_xlfn.XLOOKUP(C16,TB_Produtos[[#All],[Código]],TB_Produtos[[#All],[Categoria]]),Desc_Categoria,0))</f>
        <v>0.1</v>
      </c>
      <c r="J16" s="42">
        <f>_xlfn.XLOOKUP(TB_Vendas[[#This Row],[Vendedor]],Vendedores!$A$4:$A$9,Vendedores!$D$5:$D$10)</f>
        <v>0.2</v>
      </c>
      <c r="K16" s="42">
        <f>IF(TB_Vendas[[#This Row],[Desc_Direto]]&gt;TB_Vendas[[#This Row],[Desc_Vendedor]],TB_Vendas[[#This Row],[Desc_Vendedor]],TB_Vendas[[#This Row],[Desc_Direto]])</f>
        <v>0.1</v>
      </c>
      <c r="L16" s="2">
        <f>TB_Vendas[[#This Row],[Preço Unitário]]*TB_Vendas[[#This Row],[Qtd]]</f>
        <v>300</v>
      </c>
      <c r="M16" s="1" t="s">
        <v>117</v>
      </c>
    </row>
    <row r="17" spans="1:13">
      <c r="A17" s="4">
        <f>MONTH(TB_Vendas[[#This Row],[Data]])</f>
        <v>2</v>
      </c>
      <c r="B17" s="3">
        <v>44962</v>
      </c>
      <c r="C17" s="4" t="s">
        <v>95</v>
      </c>
      <c r="D17" s="4" t="str" cm="1">
        <f t="array" ref="D17">_xlfn.XLOOKUP(TB_Vendas[[#This Row],[Código]],TB_Produtos[[#All],[Código]],TB_Produtos[[#All],[Categoria]])</f>
        <v>Vestuário</v>
      </c>
      <c r="E17" s="1">
        <v>2</v>
      </c>
      <c r="F17" s="8">
        <f>VLOOKUP(TB_Vendas[[#This Row],[Código]],TB_Produtos[#All],6,FALSE)</f>
        <v>289.89999999999998</v>
      </c>
      <c r="G17" s="1">
        <f>_xlfn.XMATCH(TB_Vendas[[#This Row],[Categoria]],Desc_Categoria)</f>
        <v>3</v>
      </c>
      <c r="H17" s="42">
        <f>VLOOKUP(TB_Vendas[[#This Row],[Qtd]],Desc_Tabela,TB_Vendas[[#This Row],[Índice]])</f>
        <v>0.15</v>
      </c>
      <c r="I17" s="42" cm="1">
        <f t="array" ref="I17">INDEX(Desc_TabelaTotal,MATCH(TB_Vendas[[#This Row],[Qtd]],Desc_Qtde,1),MATCH(_xlfn.XLOOKUP(C17,TB_Produtos[[#All],[Código]],TB_Produtos[[#All],[Categoria]]),Desc_Categoria,0))</f>
        <v>0.15</v>
      </c>
      <c r="J17" s="42">
        <f>_xlfn.XLOOKUP(TB_Vendas[[#This Row],[Vendedor]],Vendedores!$A$4:$A$9,Vendedores!$D$5:$D$10)</f>
        <v>0.15</v>
      </c>
      <c r="K17" s="42">
        <f>IF(TB_Vendas[[#This Row],[Desc_Direto]]&gt;TB_Vendas[[#This Row],[Desc_Vendedor]],TB_Vendas[[#This Row],[Desc_Vendedor]],TB_Vendas[[#This Row],[Desc_Direto]])</f>
        <v>0.15</v>
      </c>
      <c r="L17" s="2">
        <f>TB_Vendas[[#This Row],[Preço Unitário]]*TB_Vendas[[#This Row],[Qtd]]</f>
        <v>579.79999999999995</v>
      </c>
      <c r="M17" s="1" t="s">
        <v>118</v>
      </c>
    </row>
    <row r="18" spans="1:13">
      <c r="A18" s="4">
        <f>MONTH(TB_Vendas[[#This Row],[Data]])</f>
        <v>2</v>
      </c>
      <c r="B18" s="3">
        <v>44975</v>
      </c>
      <c r="C18" s="4" t="s">
        <v>58</v>
      </c>
      <c r="D18" s="4" t="str" cm="1">
        <f t="array" ref="D18">_xlfn.XLOOKUP(TB_Vendas[[#This Row],[Código]],TB_Produtos[[#All],[Código]],TB_Produtos[[#All],[Categoria]])</f>
        <v>Calçado</v>
      </c>
      <c r="E18" s="1">
        <v>1</v>
      </c>
      <c r="F18" s="8">
        <f>VLOOKUP(TB_Vendas[[#This Row],[Código]],TB_Produtos[#All],6,FALSE)</f>
        <v>249.9</v>
      </c>
      <c r="G18" s="1">
        <f>_xlfn.XMATCH(TB_Vendas[[#This Row],[Categoria]],Desc_Categoria)</f>
        <v>4</v>
      </c>
      <c r="H18" s="42">
        <f>VLOOKUP(TB_Vendas[[#This Row],[Qtd]],Desc_Tabela,TB_Vendas[[#This Row],[Índice]])</f>
        <v>0</v>
      </c>
      <c r="I18" s="42" cm="1">
        <f t="array" ref="I18">INDEX(Desc_TabelaTotal,MATCH(TB_Vendas[[#This Row],[Qtd]],Desc_Qtde,1),MATCH(_xlfn.XLOOKUP(C18,TB_Produtos[[#All],[Código]],TB_Produtos[[#All],[Categoria]]),Desc_Categoria,0))</f>
        <v>0</v>
      </c>
      <c r="J18" s="42">
        <f>_xlfn.XLOOKUP(TB_Vendas[[#This Row],[Vendedor]],Vendedores!$A$4:$A$9,Vendedores!$D$5:$D$10)</f>
        <v>0.15</v>
      </c>
      <c r="K18" s="42">
        <f>IF(TB_Vendas[[#This Row],[Desc_Direto]]&gt;TB_Vendas[[#This Row],[Desc_Vendedor]],TB_Vendas[[#This Row],[Desc_Vendedor]],TB_Vendas[[#This Row],[Desc_Direto]])</f>
        <v>0</v>
      </c>
      <c r="L18" s="2">
        <f>TB_Vendas[[#This Row],[Preço Unitário]]*TB_Vendas[[#This Row],[Qtd]]</f>
        <v>249.9</v>
      </c>
      <c r="M18" s="1" t="s">
        <v>118</v>
      </c>
    </row>
    <row r="19" spans="1:13">
      <c r="A19" s="4">
        <f>MONTH(TB_Vendas[[#This Row],[Data]])</f>
        <v>2</v>
      </c>
      <c r="B19" s="3">
        <v>44978</v>
      </c>
      <c r="C19" s="4" t="s">
        <v>43</v>
      </c>
      <c r="D19" s="4" t="str" cm="1">
        <f t="array" ref="D19">_xlfn.XLOOKUP(TB_Vendas[[#This Row],[Código]],TB_Produtos[[#All],[Código]],TB_Produtos[[#All],[Categoria]])</f>
        <v>Vestuário</v>
      </c>
      <c r="E19" s="1">
        <v>2</v>
      </c>
      <c r="F19" s="8">
        <f>VLOOKUP(TB_Vendas[[#This Row],[Código]],TB_Produtos[#All],6,FALSE)</f>
        <v>39.9</v>
      </c>
      <c r="G19" s="1">
        <f>_xlfn.XMATCH(TB_Vendas[[#This Row],[Categoria]],Desc_Categoria)</f>
        <v>3</v>
      </c>
      <c r="H19" s="42">
        <f>VLOOKUP(TB_Vendas[[#This Row],[Qtd]],Desc_Tabela,TB_Vendas[[#This Row],[Índice]])</f>
        <v>0.15</v>
      </c>
      <c r="I19" s="42" cm="1">
        <f t="array" ref="I19">INDEX(Desc_TabelaTotal,MATCH(TB_Vendas[[#This Row],[Qtd]],Desc_Qtde,1),MATCH(_xlfn.XLOOKUP(C19,TB_Produtos[[#All],[Código]],TB_Produtos[[#All],[Categoria]]),Desc_Categoria,0))</f>
        <v>0.15</v>
      </c>
      <c r="J19" s="42">
        <f>_xlfn.XLOOKUP(TB_Vendas[[#This Row],[Vendedor]],Vendedores!$A$4:$A$9,Vendedores!$D$5:$D$10)</f>
        <v>0.15</v>
      </c>
      <c r="K19" s="42">
        <f>IF(TB_Vendas[[#This Row],[Desc_Direto]]&gt;TB_Vendas[[#This Row],[Desc_Vendedor]],TB_Vendas[[#This Row],[Desc_Vendedor]],TB_Vendas[[#This Row],[Desc_Direto]])</f>
        <v>0.15</v>
      </c>
      <c r="L19" s="2">
        <f>TB_Vendas[[#This Row],[Preço Unitário]]*TB_Vendas[[#This Row],[Qtd]]</f>
        <v>79.8</v>
      </c>
      <c r="M19" s="1" t="s">
        <v>118</v>
      </c>
    </row>
    <row r="20" spans="1:13">
      <c r="A20" s="4">
        <f>MONTH(TB_Vendas[[#This Row],[Data]])</f>
        <v>2</v>
      </c>
      <c r="B20" s="3">
        <v>44981</v>
      </c>
      <c r="C20" s="4" t="s">
        <v>92</v>
      </c>
      <c r="D20" s="4" t="str" cm="1">
        <f t="array" ref="D20">_xlfn.XLOOKUP(TB_Vendas[[#This Row],[Código]],TB_Produtos[[#All],[Código]],TB_Produtos[[#All],[Categoria]])</f>
        <v>Vestuário</v>
      </c>
      <c r="E20" s="1">
        <v>4</v>
      </c>
      <c r="F20" s="8">
        <f>VLOOKUP(TB_Vendas[[#This Row],[Código]],TB_Produtos[#All],6,FALSE)</f>
        <v>289.89999999999998</v>
      </c>
      <c r="G20" s="1">
        <f>_xlfn.XMATCH(TB_Vendas[[#This Row],[Categoria]],Desc_Categoria)</f>
        <v>3</v>
      </c>
      <c r="H20" s="42">
        <f>VLOOKUP(TB_Vendas[[#This Row],[Qtd]],Desc_Tabela,TB_Vendas[[#This Row],[Índice]])</f>
        <v>0.2</v>
      </c>
      <c r="I20" s="42" cm="1">
        <f t="array" ref="I20">INDEX(Desc_TabelaTotal,MATCH(TB_Vendas[[#This Row],[Qtd]],Desc_Qtde,1),MATCH(_xlfn.XLOOKUP(C20,TB_Produtos[[#All],[Código]],TB_Produtos[[#All],[Categoria]]),Desc_Categoria,0))</f>
        <v>0.2</v>
      </c>
      <c r="J20" s="42">
        <f>_xlfn.XLOOKUP(TB_Vendas[[#This Row],[Vendedor]],Vendedores!$A$4:$A$9,Vendedores!$D$5:$D$10)</f>
        <v>0.15</v>
      </c>
      <c r="K20" s="42">
        <f>IF(TB_Vendas[[#This Row],[Desc_Direto]]&gt;TB_Vendas[[#This Row],[Desc_Vendedor]],TB_Vendas[[#This Row],[Desc_Vendedor]],TB_Vendas[[#This Row],[Desc_Direto]])</f>
        <v>0.15</v>
      </c>
      <c r="L20" s="2">
        <f>TB_Vendas[[#This Row],[Preço Unitário]]*TB_Vendas[[#This Row],[Qtd]]</f>
        <v>1159.5999999999999</v>
      </c>
      <c r="M20" s="1" t="s">
        <v>118</v>
      </c>
    </row>
    <row r="21" spans="1:13">
      <c r="A21" s="4">
        <f>MONTH(TB_Vendas[[#This Row],[Data]])</f>
        <v>2</v>
      </c>
      <c r="B21" s="3">
        <v>44982</v>
      </c>
      <c r="C21" s="4" t="s">
        <v>112</v>
      </c>
      <c r="D21" s="4" t="str" cm="1">
        <f t="array" ref="D21">_xlfn.XLOOKUP(TB_Vendas[[#This Row],[Código]],TB_Produtos[[#All],[Código]],TB_Produtos[[#All],[Categoria]])</f>
        <v>Vestuário</v>
      </c>
      <c r="E21" s="1">
        <v>3</v>
      </c>
      <c r="F21" s="8">
        <f>VLOOKUP(TB_Vendas[[#This Row],[Código]],TB_Produtos[#All],6,FALSE)</f>
        <v>180</v>
      </c>
      <c r="G21" s="1">
        <f>_xlfn.XMATCH(TB_Vendas[[#This Row],[Categoria]],Desc_Categoria)</f>
        <v>3</v>
      </c>
      <c r="H21" s="42">
        <f>VLOOKUP(TB_Vendas[[#This Row],[Qtd]],Desc_Tabela,TB_Vendas[[#This Row],[Índice]])</f>
        <v>0.2</v>
      </c>
      <c r="I21" s="42" cm="1">
        <f t="array" ref="I21">INDEX(Desc_TabelaTotal,MATCH(TB_Vendas[[#This Row],[Qtd]],Desc_Qtde,1),MATCH(_xlfn.XLOOKUP(C21,TB_Produtos[[#All],[Código]],TB_Produtos[[#All],[Categoria]]),Desc_Categoria,0))</f>
        <v>0.2</v>
      </c>
      <c r="J21" s="42">
        <f>_xlfn.XLOOKUP(TB_Vendas[[#This Row],[Vendedor]],Vendedores!$A$4:$A$9,Vendedores!$D$5:$D$10)</f>
        <v>0.1</v>
      </c>
      <c r="K21" s="42">
        <f>IF(TB_Vendas[[#This Row],[Desc_Direto]]&gt;TB_Vendas[[#This Row],[Desc_Vendedor]],TB_Vendas[[#This Row],[Desc_Vendedor]],TB_Vendas[[#This Row],[Desc_Direto]])</f>
        <v>0.1</v>
      </c>
      <c r="L21" s="2">
        <f>TB_Vendas[[#This Row],[Preço Unitário]]*TB_Vendas[[#This Row],[Qtd]]</f>
        <v>540</v>
      </c>
      <c r="M21" s="1" t="s">
        <v>116</v>
      </c>
    </row>
    <row r="22" spans="1:13">
      <c r="A22" s="4">
        <f>MONTH(TB_Vendas[[#This Row],[Data]])</f>
        <v>2</v>
      </c>
      <c r="B22" s="3">
        <v>44983</v>
      </c>
      <c r="C22" s="4" t="s">
        <v>98</v>
      </c>
      <c r="D22" s="4" t="str" cm="1">
        <f t="array" ref="D22">_xlfn.XLOOKUP(TB_Vendas[[#This Row],[Código]],TB_Produtos[[#All],[Código]],TB_Produtos[[#All],[Categoria]])</f>
        <v>Vestuário</v>
      </c>
      <c r="E22" s="1">
        <v>2</v>
      </c>
      <c r="F22" s="8">
        <f>VLOOKUP(TB_Vendas[[#This Row],[Código]],TB_Produtos[#All],6,FALSE)</f>
        <v>32.9</v>
      </c>
      <c r="G22" s="1">
        <f>_xlfn.XMATCH(TB_Vendas[[#This Row],[Categoria]],Desc_Categoria)</f>
        <v>3</v>
      </c>
      <c r="H22" s="42">
        <f>VLOOKUP(TB_Vendas[[#This Row],[Qtd]],Desc_Tabela,TB_Vendas[[#This Row],[Índice]])</f>
        <v>0.15</v>
      </c>
      <c r="I22" s="42" cm="1">
        <f t="array" ref="I22">INDEX(Desc_TabelaTotal,MATCH(TB_Vendas[[#This Row],[Qtd]],Desc_Qtde,1),MATCH(_xlfn.XLOOKUP(C22,TB_Produtos[[#All],[Código]],TB_Produtos[[#All],[Categoria]]),Desc_Categoria,0))</f>
        <v>0.15</v>
      </c>
      <c r="J22" s="42">
        <f>_xlfn.XLOOKUP(TB_Vendas[[#This Row],[Vendedor]],Vendedores!$A$4:$A$9,Vendedores!$D$5:$D$10)</f>
        <v>0.25</v>
      </c>
      <c r="K22" s="42">
        <f>IF(TB_Vendas[[#This Row],[Desc_Direto]]&gt;TB_Vendas[[#This Row],[Desc_Vendedor]],TB_Vendas[[#This Row],[Desc_Vendedor]],TB_Vendas[[#This Row],[Desc_Direto]])</f>
        <v>0.15</v>
      </c>
      <c r="L22" s="2">
        <f>TB_Vendas[[#This Row],[Preço Unitário]]*TB_Vendas[[#This Row],[Qtd]]</f>
        <v>65.8</v>
      </c>
      <c r="M22" s="1" t="s">
        <v>115</v>
      </c>
    </row>
    <row r="23" spans="1:13">
      <c r="A23" s="4">
        <f>MONTH(TB_Vendas[[#This Row],[Data]])</f>
        <v>3</v>
      </c>
      <c r="B23" s="3">
        <v>44986</v>
      </c>
      <c r="C23" s="4" t="s">
        <v>59</v>
      </c>
      <c r="D23" s="4" t="str" cm="1">
        <f t="array" ref="D23">_xlfn.XLOOKUP(TB_Vendas[[#This Row],[Código]],TB_Produtos[[#All],[Código]],TB_Produtos[[#All],[Categoria]])</f>
        <v>Calçado</v>
      </c>
      <c r="E23" s="1">
        <v>3</v>
      </c>
      <c r="F23" s="8">
        <f>VLOOKUP(TB_Vendas[[#This Row],[Código]],TB_Produtos[#All],6,FALSE)</f>
        <v>255</v>
      </c>
      <c r="G23" s="1">
        <f>_xlfn.XMATCH(TB_Vendas[[#This Row],[Categoria]],Desc_Categoria)</f>
        <v>4</v>
      </c>
      <c r="H23" s="42">
        <f>VLOOKUP(TB_Vendas[[#This Row],[Qtd]],Desc_Tabela,TB_Vendas[[#This Row],[Índice]])</f>
        <v>0.15</v>
      </c>
      <c r="I23" s="42" cm="1">
        <f t="array" ref="I23">INDEX(Desc_TabelaTotal,MATCH(TB_Vendas[[#This Row],[Qtd]],Desc_Qtde,1),MATCH(_xlfn.XLOOKUP(C23,TB_Produtos[[#All],[Código]],TB_Produtos[[#All],[Categoria]]),Desc_Categoria,0))</f>
        <v>0.15</v>
      </c>
      <c r="J23" s="42">
        <f>_xlfn.XLOOKUP(TB_Vendas[[#This Row],[Vendedor]],Vendedores!$A$4:$A$9,Vendedores!$D$5:$D$10)</f>
        <v>0.15</v>
      </c>
      <c r="K23" s="42">
        <f>IF(TB_Vendas[[#This Row],[Desc_Direto]]&gt;TB_Vendas[[#This Row],[Desc_Vendedor]],TB_Vendas[[#This Row],[Desc_Vendedor]],TB_Vendas[[#This Row],[Desc_Direto]])</f>
        <v>0.15</v>
      </c>
      <c r="L23" s="2">
        <f>TB_Vendas[[#This Row],[Preço Unitário]]*TB_Vendas[[#This Row],[Qtd]]</f>
        <v>765</v>
      </c>
      <c r="M23" s="1" t="s">
        <v>118</v>
      </c>
    </row>
    <row r="24" spans="1:13">
      <c r="A24" s="4">
        <f>MONTH(TB_Vendas[[#This Row],[Data]])</f>
        <v>3</v>
      </c>
      <c r="B24" s="3">
        <v>44986</v>
      </c>
      <c r="C24" s="4" t="s">
        <v>68</v>
      </c>
      <c r="D24" s="4" t="str" cm="1">
        <f t="array" ref="D24">_xlfn.XLOOKUP(TB_Vendas[[#This Row],[Código]],TB_Produtos[[#All],[Código]],TB_Produtos[[#All],[Categoria]])</f>
        <v>Vestuário</v>
      </c>
      <c r="E24" s="1">
        <v>1</v>
      </c>
      <c r="F24" s="8">
        <f>VLOOKUP(TB_Vendas[[#This Row],[Código]],TB_Produtos[#All],6,FALSE)</f>
        <v>142.9</v>
      </c>
      <c r="G24" s="1">
        <f>_xlfn.XMATCH(TB_Vendas[[#This Row],[Categoria]],Desc_Categoria)</f>
        <v>3</v>
      </c>
      <c r="H24" s="42">
        <f>VLOOKUP(TB_Vendas[[#This Row],[Qtd]],Desc_Tabela,TB_Vendas[[#This Row],[Índice]])</f>
        <v>0.1</v>
      </c>
      <c r="I24" s="42" cm="1">
        <f t="array" ref="I24">INDEX(Desc_TabelaTotal,MATCH(TB_Vendas[[#This Row],[Qtd]],Desc_Qtde,1),MATCH(_xlfn.XLOOKUP(C24,TB_Produtos[[#All],[Código]],TB_Produtos[[#All],[Categoria]]),Desc_Categoria,0))</f>
        <v>0.1</v>
      </c>
      <c r="J24" s="42">
        <f>_xlfn.XLOOKUP(TB_Vendas[[#This Row],[Vendedor]],Vendedores!$A$4:$A$9,Vendedores!$D$5:$D$10)</f>
        <v>0.25</v>
      </c>
      <c r="K24" s="42">
        <f>IF(TB_Vendas[[#This Row],[Desc_Direto]]&gt;TB_Vendas[[#This Row],[Desc_Vendedor]],TB_Vendas[[#This Row],[Desc_Vendedor]],TB_Vendas[[#This Row],[Desc_Direto]])</f>
        <v>0.1</v>
      </c>
      <c r="L24" s="2">
        <f>TB_Vendas[[#This Row],[Preço Unitário]]*TB_Vendas[[#This Row],[Qtd]]</f>
        <v>142.9</v>
      </c>
      <c r="M24" s="1" t="s">
        <v>115</v>
      </c>
    </row>
    <row r="25" spans="1:13">
      <c r="A25" s="4">
        <f>MONTH(TB_Vendas[[#This Row],[Data]])</f>
        <v>3</v>
      </c>
      <c r="B25" s="3">
        <v>44987</v>
      </c>
      <c r="C25" s="4" t="s">
        <v>39</v>
      </c>
      <c r="D25" s="4" t="str" cm="1">
        <f t="array" ref="D25">_xlfn.XLOOKUP(TB_Vendas[[#This Row],[Código]],TB_Produtos[[#All],[Código]],TB_Produtos[[#All],[Categoria]])</f>
        <v>Vestuário</v>
      </c>
      <c r="E25" s="1">
        <v>4</v>
      </c>
      <c r="F25" s="8">
        <f>VLOOKUP(TB_Vendas[[#This Row],[Código]],TB_Produtos[#All],6,FALSE)</f>
        <v>92.9</v>
      </c>
      <c r="G25" s="1">
        <f>_xlfn.XMATCH(TB_Vendas[[#This Row],[Categoria]],Desc_Categoria)</f>
        <v>3</v>
      </c>
      <c r="H25" s="42">
        <f>VLOOKUP(TB_Vendas[[#This Row],[Qtd]],Desc_Tabela,TB_Vendas[[#This Row],[Índice]])</f>
        <v>0.2</v>
      </c>
      <c r="I25" s="42" cm="1">
        <f t="array" ref="I25">INDEX(Desc_TabelaTotal,MATCH(TB_Vendas[[#This Row],[Qtd]],Desc_Qtde,1),MATCH(_xlfn.XLOOKUP(C25,TB_Produtos[[#All],[Código]],TB_Produtos[[#All],[Categoria]]),Desc_Categoria,0))</f>
        <v>0.2</v>
      </c>
      <c r="J25" s="42">
        <f>_xlfn.XLOOKUP(TB_Vendas[[#This Row],[Vendedor]],Vendedores!$A$4:$A$9,Vendedores!$D$5:$D$10)</f>
        <v>0.2</v>
      </c>
      <c r="K25" s="42">
        <f>IF(TB_Vendas[[#This Row],[Desc_Direto]]&gt;TB_Vendas[[#This Row],[Desc_Vendedor]],TB_Vendas[[#This Row],[Desc_Vendedor]],TB_Vendas[[#This Row],[Desc_Direto]])</f>
        <v>0.2</v>
      </c>
      <c r="L25" s="2">
        <f>TB_Vendas[[#This Row],[Preço Unitário]]*TB_Vendas[[#This Row],[Qtd]]</f>
        <v>371.6</v>
      </c>
      <c r="M25" s="1" t="s">
        <v>117</v>
      </c>
    </row>
    <row r="26" spans="1:13">
      <c r="A26" s="4">
        <f>MONTH(TB_Vendas[[#This Row],[Data]])</f>
        <v>3</v>
      </c>
      <c r="B26" s="3">
        <v>44988</v>
      </c>
      <c r="C26" s="4" t="s">
        <v>87</v>
      </c>
      <c r="D26" s="4" t="str" cm="1">
        <f t="array" ref="D26">_xlfn.XLOOKUP(TB_Vendas[[#This Row],[Código]],TB_Produtos[[#All],[Código]],TB_Produtos[[#All],[Categoria]])</f>
        <v>Vestuário</v>
      </c>
      <c r="E26" s="1">
        <v>2</v>
      </c>
      <c r="F26" s="8">
        <f>VLOOKUP(TB_Vendas[[#This Row],[Código]],TB_Produtos[#All],6,FALSE)</f>
        <v>54.9</v>
      </c>
      <c r="G26" s="1">
        <f>_xlfn.XMATCH(TB_Vendas[[#This Row],[Categoria]],Desc_Categoria)</f>
        <v>3</v>
      </c>
      <c r="H26" s="42">
        <f>VLOOKUP(TB_Vendas[[#This Row],[Qtd]],Desc_Tabela,TB_Vendas[[#This Row],[Índice]])</f>
        <v>0.15</v>
      </c>
      <c r="I26" s="42" cm="1">
        <f t="array" ref="I26">INDEX(Desc_TabelaTotal,MATCH(TB_Vendas[[#This Row],[Qtd]],Desc_Qtde,1),MATCH(_xlfn.XLOOKUP(C26,TB_Produtos[[#All],[Código]],TB_Produtos[[#All],[Categoria]]),Desc_Categoria,0))</f>
        <v>0.15</v>
      </c>
      <c r="J26" s="42">
        <f>_xlfn.XLOOKUP(TB_Vendas[[#This Row],[Vendedor]],Vendedores!$A$4:$A$9,Vendedores!$D$5:$D$10)</f>
        <v>0.25</v>
      </c>
      <c r="K26" s="42">
        <f>IF(TB_Vendas[[#This Row],[Desc_Direto]]&gt;TB_Vendas[[#This Row],[Desc_Vendedor]],TB_Vendas[[#This Row],[Desc_Vendedor]],TB_Vendas[[#This Row],[Desc_Direto]])</f>
        <v>0.15</v>
      </c>
      <c r="L26" s="2">
        <f>TB_Vendas[[#This Row],[Preço Unitário]]*TB_Vendas[[#This Row],[Qtd]]</f>
        <v>109.8</v>
      </c>
      <c r="M26" s="1" t="s">
        <v>115</v>
      </c>
    </row>
    <row r="27" spans="1:13">
      <c r="A27" s="4">
        <f>MONTH(TB_Vendas[[#This Row],[Data]])</f>
        <v>3</v>
      </c>
      <c r="B27" s="3">
        <v>44989</v>
      </c>
      <c r="C27" s="4" t="s">
        <v>68</v>
      </c>
      <c r="D27" s="4" t="str" cm="1">
        <f t="array" ref="D27">_xlfn.XLOOKUP(TB_Vendas[[#This Row],[Código]],TB_Produtos[[#All],[Código]],TB_Produtos[[#All],[Categoria]])</f>
        <v>Vestuário</v>
      </c>
      <c r="E27" s="1">
        <v>3</v>
      </c>
      <c r="F27" s="8">
        <f>VLOOKUP(TB_Vendas[[#This Row],[Código]],TB_Produtos[#All],6,FALSE)</f>
        <v>142.9</v>
      </c>
      <c r="G27" s="1">
        <f>_xlfn.XMATCH(TB_Vendas[[#This Row],[Categoria]],Desc_Categoria)</f>
        <v>3</v>
      </c>
      <c r="H27" s="42">
        <f>VLOOKUP(TB_Vendas[[#This Row],[Qtd]],Desc_Tabela,TB_Vendas[[#This Row],[Índice]])</f>
        <v>0.2</v>
      </c>
      <c r="I27" s="42" cm="1">
        <f t="array" ref="I27">INDEX(Desc_TabelaTotal,MATCH(TB_Vendas[[#This Row],[Qtd]],Desc_Qtde,1),MATCH(_xlfn.XLOOKUP(C27,TB_Produtos[[#All],[Código]],TB_Produtos[[#All],[Categoria]]),Desc_Categoria,0))</f>
        <v>0.2</v>
      </c>
      <c r="J27" s="42">
        <f>_xlfn.XLOOKUP(TB_Vendas[[#This Row],[Vendedor]],Vendedores!$A$4:$A$9,Vendedores!$D$5:$D$10)</f>
        <v>0.1</v>
      </c>
      <c r="K27" s="42">
        <f>IF(TB_Vendas[[#This Row],[Desc_Direto]]&gt;TB_Vendas[[#This Row],[Desc_Vendedor]],TB_Vendas[[#This Row],[Desc_Vendedor]],TB_Vendas[[#This Row],[Desc_Direto]])</f>
        <v>0.1</v>
      </c>
      <c r="L27" s="2">
        <f>TB_Vendas[[#This Row],[Preço Unitário]]*TB_Vendas[[#This Row],[Qtd]]</f>
        <v>428.70000000000005</v>
      </c>
      <c r="M27" s="1" t="s">
        <v>116</v>
      </c>
    </row>
    <row r="28" spans="1:13">
      <c r="A28" s="4">
        <f>MONTH(TB_Vendas[[#This Row],[Data]])</f>
        <v>3</v>
      </c>
      <c r="B28" s="3">
        <v>44994</v>
      </c>
      <c r="C28" s="4" t="s">
        <v>57</v>
      </c>
      <c r="D28" s="4" t="str" cm="1">
        <f t="array" ref="D28">_xlfn.XLOOKUP(TB_Vendas[[#This Row],[Código]],TB_Produtos[[#All],[Código]],TB_Produtos[[#All],[Categoria]])</f>
        <v>Acessórios</v>
      </c>
      <c r="E28" s="1">
        <v>2</v>
      </c>
      <c r="F28" s="8">
        <f>VLOOKUP(TB_Vendas[[#This Row],[Código]],TB_Produtos[#All],6,FALSE)</f>
        <v>120</v>
      </c>
      <c r="G28" s="1">
        <f>_xlfn.XMATCH(TB_Vendas[[#This Row],[Categoria]],Desc_Categoria)</f>
        <v>2</v>
      </c>
      <c r="H28" s="42">
        <f>VLOOKUP(TB_Vendas[[#This Row],[Qtd]],Desc_Tabela,TB_Vendas[[#This Row],[Índice]])</f>
        <v>0.05</v>
      </c>
      <c r="I28" s="42" cm="1">
        <f t="array" ref="I28">INDEX(Desc_TabelaTotal,MATCH(TB_Vendas[[#This Row],[Qtd]],Desc_Qtde,1),MATCH(_xlfn.XLOOKUP(C28,TB_Produtos[[#All],[Código]],TB_Produtos[[#All],[Categoria]]),Desc_Categoria,0))</f>
        <v>0.05</v>
      </c>
      <c r="J28" s="42">
        <f>_xlfn.XLOOKUP(TB_Vendas[[#This Row],[Vendedor]],Vendedores!$A$4:$A$9,Vendedores!$D$5:$D$10)</f>
        <v>0.1</v>
      </c>
      <c r="K28" s="42">
        <f>IF(TB_Vendas[[#This Row],[Desc_Direto]]&gt;TB_Vendas[[#This Row],[Desc_Vendedor]],TB_Vendas[[#This Row],[Desc_Vendedor]],TB_Vendas[[#This Row],[Desc_Direto]])</f>
        <v>0.05</v>
      </c>
      <c r="L28" s="2">
        <f>TB_Vendas[[#This Row],[Preço Unitário]]*TB_Vendas[[#This Row],[Qtd]]</f>
        <v>240</v>
      </c>
      <c r="M28" s="1" t="s">
        <v>116</v>
      </c>
    </row>
    <row r="29" spans="1:13">
      <c r="A29" s="4">
        <f>MONTH(TB_Vendas[[#This Row],[Data]])</f>
        <v>3</v>
      </c>
      <c r="B29" s="3">
        <v>44999</v>
      </c>
      <c r="C29" s="4" t="s">
        <v>31</v>
      </c>
      <c r="D29" s="4" t="str" cm="1">
        <f t="array" ref="D29">_xlfn.XLOOKUP(TB_Vendas[[#This Row],[Código]],TB_Produtos[[#All],[Código]],TB_Produtos[[#All],[Categoria]])</f>
        <v>Vestuário</v>
      </c>
      <c r="E29" s="1">
        <v>1</v>
      </c>
      <c r="F29" s="8">
        <f>VLOOKUP(TB_Vendas[[#This Row],[Código]],TB_Produtos[#All],6,FALSE)</f>
        <v>65.900000000000006</v>
      </c>
      <c r="G29" s="1">
        <f>_xlfn.XMATCH(TB_Vendas[[#This Row],[Categoria]],Desc_Categoria)</f>
        <v>3</v>
      </c>
      <c r="H29" s="42">
        <f>VLOOKUP(TB_Vendas[[#This Row],[Qtd]],Desc_Tabela,TB_Vendas[[#This Row],[Índice]])</f>
        <v>0.1</v>
      </c>
      <c r="I29" s="42" cm="1">
        <f t="array" ref="I29">INDEX(Desc_TabelaTotal,MATCH(TB_Vendas[[#This Row],[Qtd]],Desc_Qtde,1),MATCH(_xlfn.XLOOKUP(C29,TB_Produtos[[#All],[Código]],TB_Produtos[[#All],[Categoria]]),Desc_Categoria,0))</f>
        <v>0.1</v>
      </c>
      <c r="J29" s="42">
        <f>_xlfn.XLOOKUP(TB_Vendas[[#This Row],[Vendedor]],Vendedores!$A$4:$A$9,Vendedores!$D$5:$D$10)</f>
        <v>0.15</v>
      </c>
      <c r="K29" s="42">
        <f>IF(TB_Vendas[[#This Row],[Desc_Direto]]&gt;TB_Vendas[[#This Row],[Desc_Vendedor]],TB_Vendas[[#This Row],[Desc_Vendedor]],TB_Vendas[[#This Row],[Desc_Direto]])</f>
        <v>0.1</v>
      </c>
      <c r="L29" s="2">
        <f>TB_Vendas[[#This Row],[Preço Unitário]]*TB_Vendas[[#This Row],[Qtd]]</f>
        <v>65.900000000000006</v>
      </c>
      <c r="M29" s="1" t="s">
        <v>118</v>
      </c>
    </row>
    <row r="30" spans="1:13">
      <c r="A30" s="4">
        <f>MONTH(TB_Vendas[[#This Row],[Data]])</f>
        <v>3</v>
      </c>
      <c r="B30" s="3">
        <v>45004</v>
      </c>
      <c r="C30" s="4" t="s">
        <v>96</v>
      </c>
      <c r="D30" s="4" t="str" cm="1">
        <f t="array" ref="D30">_xlfn.XLOOKUP(TB_Vendas[[#This Row],[Código]],TB_Produtos[[#All],[Código]],TB_Produtos[[#All],[Categoria]])</f>
        <v>Vestuário</v>
      </c>
      <c r="E30" s="1">
        <v>5</v>
      </c>
      <c r="F30" s="8">
        <f>VLOOKUP(TB_Vendas[[#This Row],[Código]],TB_Produtos[#All],6,FALSE)</f>
        <v>32.9</v>
      </c>
      <c r="G30" s="1">
        <f>_xlfn.XMATCH(TB_Vendas[[#This Row],[Categoria]],Desc_Categoria)</f>
        <v>3</v>
      </c>
      <c r="H30" s="42">
        <f>VLOOKUP(TB_Vendas[[#This Row],[Qtd]],Desc_Tabela,TB_Vendas[[#This Row],[Índice]])</f>
        <v>0.25</v>
      </c>
      <c r="I30" s="42" cm="1">
        <f t="array" ref="I30">INDEX(Desc_TabelaTotal,MATCH(TB_Vendas[[#This Row],[Qtd]],Desc_Qtde,1),MATCH(_xlfn.XLOOKUP(C30,TB_Produtos[[#All],[Código]],TB_Produtos[[#All],[Categoria]]),Desc_Categoria,0))</f>
        <v>0.25</v>
      </c>
      <c r="J30" s="42">
        <f>_xlfn.XLOOKUP(TB_Vendas[[#This Row],[Vendedor]],Vendedores!$A$4:$A$9,Vendedores!$D$5:$D$10)</f>
        <v>0</v>
      </c>
      <c r="K30" s="42">
        <f>IF(TB_Vendas[[#This Row],[Desc_Direto]]&gt;TB_Vendas[[#This Row],[Desc_Vendedor]],TB_Vendas[[#This Row],[Desc_Vendedor]],TB_Vendas[[#This Row],[Desc_Direto]])</f>
        <v>0</v>
      </c>
      <c r="L30" s="2">
        <f>TB_Vendas[[#This Row],[Preço Unitário]]*TB_Vendas[[#This Row],[Qtd]]</f>
        <v>164.5</v>
      </c>
      <c r="M30" s="1" t="s">
        <v>119</v>
      </c>
    </row>
    <row r="31" spans="1:13">
      <c r="A31" s="4">
        <f>MONTH(TB_Vendas[[#This Row],[Data]])</f>
        <v>3</v>
      </c>
      <c r="B31" s="3">
        <v>45006</v>
      </c>
      <c r="C31" s="4" t="s">
        <v>111</v>
      </c>
      <c r="D31" s="4" t="str" cm="1">
        <f t="array" ref="D31">_xlfn.XLOOKUP(TB_Vendas[[#This Row],[Código]],TB_Produtos[[#All],[Código]],TB_Produtos[[#All],[Categoria]])</f>
        <v>Vestuário</v>
      </c>
      <c r="E31" s="1">
        <v>2</v>
      </c>
      <c r="F31" s="8">
        <f>VLOOKUP(TB_Vendas[[#This Row],[Código]],TB_Produtos[#All],6,FALSE)</f>
        <v>180</v>
      </c>
      <c r="G31" s="1">
        <f>_xlfn.XMATCH(TB_Vendas[[#This Row],[Categoria]],Desc_Categoria)</f>
        <v>3</v>
      </c>
      <c r="H31" s="42">
        <f>VLOOKUP(TB_Vendas[[#This Row],[Qtd]],Desc_Tabela,TB_Vendas[[#This Row],[Índice]])</f>
        <v>0.15</v>
      </c>
      <c r="I31" s="42" cm="1">
        <f t="array" ref="I31">INDEX(Desc_TabelaTotal,MATCH(TB_Vendas[[#This Row],[Qtd]],Desc_Qtde,1),MATCH(_xlfn.XLOOKUP(C31,TB_Produtos[[#All],[Código]],TB_Produtos[[#All],[Categoria]]),Desc_Categoria,0))</f>
        <v>0.15</v>
      </c>
      <c r="J31" s="42">
        <f>_xlfn.XLOOKUP(TB_Vendas[[#This Row],[Vendedor]],Vendedores!$A$4:$A$9,Vendedores!$D$5:$D$10)</f>
        <v>0.1</v>
      </c>
      <c r="K31" s="42">
        <f>IF(TB_Vendas[[#This Row],[Desc_Direto]]&gt;TB_Vendas[[#This Row],[Desc_Vendedor]],TB_Vendas[[#This Row],[Desc_Vendedor]],TB_Vendas[[#This Row],[Desc_Direto]])</f>
        <v>0.1</v>
      </c>
      <c r="L31" s="2">
        <f>TB_Vendas[[#This Row],[Preço Unitário]]*TB_Vendas[[#This Row],[Qtd]]</f>
        <v>360</v>
      </c>
      <c r="M31" s="1" t="s">
        <v>116</v>
      </c>
    </row>
    <row r="32" spans="1:13">
      <c r="A32" s="4">
        <f>MONTH(TB_Vendas[[#This Row],[Data]])</f>
        <v>3</v>
      </c>
      <c r="B32" s="3">
        <v>45010</v>
      </c>
      <c r="C32" s="4" t="s">
        <v>56</v>
      </c>
      <c r="D32" s="4" t="str" cm="1">
        <f t="array" ref="D32">_xlfn.XLOOKUP(TB_Vendas[[#This Row],[Código]],TB_Produtos[[#All],[Código]],TB_Produtos[[#All],[Categoria]])</f>
        <v>Acessórios</v>
      </c>
      <c r="E32" s="1">
        <v>3</v>
      </c>
      <c r="F32" s="8">
        <f>VLOOKUP(TB_Vendas[[#This Row],[Código]],TB_Produtos[#All],6,FALSE)</f>
        <v>349.9</v>
      </c>
      <c r="G32" s="1">
        <f>_xlfn.XMATCH(TB_Vendas[[#This Row],[Categoria]],Desc_Categoria)</f>
        <v>2</v>
      </c>
      <c r="H32" s="42">
        <f>VLOOKUP(TB_Vendas[[#This Row],[Qtd]],Desc_Tabela,TB_Vendas[[#This Row],[Índice]])</f>
        <v>0.15</v>
      </c>
      <c r="I32" s="42" cm="1">
        <f t="array" ref="I32">INDEX(Desc_TabelaTotal,MATCH(TB_Vendas[[#This Row],[Qtd]],Desc_Qtde,1),MATCH(_xlfn.XLOOKUP(C32,TB_Produtos[[#All],[Código]],TB_Produtos[[#All],[Categoria]]),Desc_Categoria,0))</f>
        <v>0.15</v>
      </c>
      <c r="J32" s="42">
        <f>_xlfn.XLOOKUP(TB_Vendas[[#This Row],[Vendedor]],Vendedores!$A$4:$A$9,Vendedores!$D$5:$D$10)</f>
        <v>0.25</v>
      </c>
      <c r="K32" s="42">
        <f>IF(TB_Vendas[[#This Row],[Desc_Direto]]&gt;TB_Vendas[[#This Row],[Desc_Vendedor]],TB_Vendas[[#This Row],[Desc_Vendedor]],TB_Vendas[[#This Row],[Desc_Direto]])</f>
        <v>0.15</v>
      </c>
      <c r="L32" s="2">
        <f>TB_Vendas[[#This Row],[Preço Unitário]]*TB_Vendas[[#This Row],[Qtd]]</f>
        <v>1049.6999999999998</v>
      </c>
      <c r="M32" s="1" t="s">
        <v>115</v>
      </c>
    </row>
    <row r="33" spans="1:13">
      <c r="A33" s="4">
        <f>MONTH(TB_Vendas[[#This Row],[Data]])</f>
        <v>4</v>
      </c>
      <c r="B33" s="3">
        <v>45018</v>
      </c>
      <c r="C33" s="4" t="s">
        <v>90</v>
      </c>
      <c r="D33" s="4" t="str" cm="1">
        <f t="array" ref="D33">_xlfn.XLOOKUP(TB_Vendas[[#This Row],[Código]],TB_Produtos[[#All],[Código]],TB_Produtos[[#All],[Categoria]])</f>
        <v>Vestuário</v>
      </c>
      <c r="E33" s="1">
        <v>1</v>
      </c>
      <c r="F33" s="8">
        <f>VLOOKUP(TB_Vendas[[#This Row],[Código]],TB_Produtos[#All],6,FALSE)</f>
        <v>72.5</v>
      </c>
      <c r="G33" s="1">
        <f>_xlfn.XMATCH(TB_Vendas[[#This Row],[Categoria]],Desc_Categoria)</f>
        <v>3</v>
      </c>
      <c r="H33" s="42">
        <f>VLOOKUP(TB_Vendas[[#This Row],[Qtd]],Desc_Tabela,TB_Vendas[[#This Row],[Índice]])</f>
        <v>0.1</v>
      </c>
      <c r="I33" s="42" cm="1">
        <f t="array" ref="I33">INDEX(Desc_TabelaTotal,MATCH(TB_Vendas[[#This Row],[Qtd]],Desc_Qtde,1),MATCH(_xlfn.XLOOKUP(C33,TB_Produtos[[#All],[Código]],TB_Produtos[[#All],[Categoria]]),Desc_Categoria,0))</f>
        <v>0.1</v>
      </c>
      <c r="J33" s="42">
        <f>_xlfn.XLOOKUP(TB_Vendas[[#This Row],[Vendedor]],Vendedores!$A$4:$A$9,Vendedores!$D$5:$D$10)</f>
        <v>0.2</v>
      </c>
      <c r="K33" s="42">
        <f>IF(TB_Vendas[[#This Row],[Desc_Direto]]&gt;TB_Vendas[[#This Row],[Desc_Vendedor]],TB_Vendas[[#This Row],[Desc_Vendedor]],TB_Vendas[[#This Row],[Desc_Direto]])</f>
        <v>0.1</v>
      </c>
      <c r="L33" s="2">
        <f>TB_Vendas[[#This Row],[Preço Unitário]]*TB_Vendas[[#This Row],[Qtd]]</f>
        <v>72.5</v>
      </c>
      <c r="M33" s="1" t="s">
        <v>117</v>
      </c>
    </row>
    <row r="34" spans="1:13">
      <c r="A34" s="4">
        <f>MONTH(TB_Vendas[[#This Row],[Data]])</f>
        <v>4</v>
      </c>
      <c r="B34" s="3">
        <v>45020</v>
      </c>
      <c r="C34" s="4" t="s">
        <v>54</v>
      </c>
      <c r="D34" s="4" t="str" cm="1">
        <f t="array" ref="D34">_xlfn.XLOOKUP(TB_Vendas[[#This Row],[Código]],TB_Produtos[[#All],[Código]],TB_Produtos[[#All],[Categoria]])</f>
        <v>Vestuário</v>
      </c>
      <c r="E34" s="1">
        <v>4</v>
      </c>
      <c r="F34" s="8">
        <f>VLOOKUP(TB_Vendas[[#This Row],[Código]],TB_Produtos[#All],6,FALSE)</f>
        <v>259.89999999999998</v>
      </c>
      <c r="G34" s="1">
        <f>_xlfn.XMATCH(TB_Vendas[[#This Row],[Categoria]],Desc_Categoria)</f>
        <v>3</v>
      </c>
      <c r="H34" s="42">
        <f>VLOOKUP(TB_Vendas[[#This Row],[Qtd]],Desc_Tabela,TB_Vendas[[#This Row],[Índice]])</f>
        <v>0.2</v>
      </c>
      <c r="I34" s="42" cm="1">
        <f t="array" ref="I34">INDEX(Desc_TabelaTotal,MATCH(TB_Vendas[[#This Row],[Qtd]],Desc_Qtde,1),MATCH(_xlfn.XLOOKUP(C34,TB_Produtos[[#All],[Código]],TB_Produtos[[#All],[Categoria]]),Desc_Categoria,0))</f>
        <v>0.2</v>
      </c>
      <c r="J34" s="42">
        <f>_xlfn.XLOOKUP(TB_Vendas[[#This Row],[Vendedor]],Vendedores!$A$4:$A$9,Vendedores!$D$5:$D$10)</f>
        <v>0.25</v>
      </c>
      <c r="K34" s="42">
        <f>IF(TB_Vendas[[#This Row],[Desc_Direto]]&gt;TB_Vendas[[#This Row],[Desc_Vendedor]],TB_Vendas[[#This Row],[Desc_Vendedor]],TB_Vendas[[#This Row],[Desc_Direto]])</f>
        <v>0.2</v>
      </c>
      <c r="L34" s="2">
        <f>TB_Vendas[[#This Row],[Preço Unitário]]*TB_Vendas[[#This Row],[Qtd]]</f>
        <v>1039.5999999999999</v>
      </c>
      <c r="M34" s="1" t="s">
        <v>115</v>
      </c>
    </row>
    <row r="35" spans="1:13">
      <c r="A35" s="4">
        <f>MONTH(TB_Vendas[[#This Row],[Data]])</f>
        <v>4</v>
      </c>
      <c r="B35" s="3">
        <v>45024</v>
      </c>
      <c r="C35" s="4" t="s">
        <v>46</v>
      </c>
      <c r="D35" s="4" t="str" cm="1">
        <f t="array" ref="D35">_xlfn.XLOOKUP(TB_Vendas[[#This Row],[Código]],TB_Produtos[[#All],[Código]],TB_Produtos[[#All],[Categoria]])</f>
        <v>Vestuário</v>
      </c>
      <c r="E35" s="1">
        <v>3</v>
      </c>
      <c r="F35" s="8">
        <f>VLOOKUP(TB_Vendas[[#This Row],[Código]],TB_Produtos[#All],6,FALSE)</f>
        <v>25.9</v>
      </c>
      <c r="G35" s="1">
        <f>_xlfn.XMATCH(TB_Vendas[[#This Row],[Categoria]],Desc_Categoria)</f>
        <v>3</v>
      </c>
      <c r="H35" s="42">
        <f>VLOOKUP(TB_Vendas[[#This Row],[Qtd]],Desc_Tabela,TB_Vendas[[#This Row],[Índice]])</f>
        <v>0.2</v>
      </c>
      <c r="I35" s="42" cm="1">
        <f t="array" ref="I35">INDEX(Desc_TabelaTotal,MATCH(TB_Vendas[[#This Row],[Qtd]],Desc_Qtde,1),MATCH(_xlfn.XLOOKUP(C35,TB_Produtos[[#All],[Código]],TB_Produtos[[#All],[Categoria]]),Desc_Categoria,0))</f>
        <v>0.2</v>
      </c>
      <c r="J35" s="42">
        <f>_xlfn.XLOOKUP(TB_Vendas[[#This Row],[Vendedor]],Vendedores!$A$4:$A$9,Vendedores!$D$5:$D$10)</f>
        <v>0.1</v>
      </c>
      <c r="K35" s="42">
        <f>IF(TB_Vendas[[#This Row],[Desc_Direto]]&gt;TB_Vendas[[#This Row],[Desc_Vendedor]],TB_Vendas[[#This Row],[Desc_Vendedor]],TB_Vendas[[#This Row],[Desc_Direto]])</f>
        <v>0.1</v>
      </c>
      <c r="L35" s="2">
        <f>TB_Vendas[[#This Row],[Preço Unitário]]*TB_Vendas[[#This Row],[Qtd]]</f>
        <v>77.699999999999989</v>
      </c>
      <c r="M35" s="1" t="s">
        <v>116</v>
      </c>
    </row>
    <row r="36" spans="1:13">
      <c r="A36" s="4">
        <f>MONTH(TB_Vendas[[#This Row],[Data]])</f>
        <v>4</v>
      </c>
      <c r="B36" s="3">
        <v>45027</v>
      </c>
      <c r="C36" s="4" t="s">
        <v>34</v>
      </c>
      <c r="D36" s="4" t="str" cm="1">
        <f t="array" ref="D36">_xlfn.XLOOKUP(TB_Vendas[[#This Row],[Código]],TB_Produtos[[#All],[Código]],TB_Produtos[[#All],[Categoria]])</f>
        <v>Acessórios</v>
      </c>
      <c r="E36" s="1">
        <v>2</v>
      </c>
      <c r="F36" s="8">
        <f>VLOOKUP(TB_Vendas[[#This Row],[Código]],TB_Produtos[#All],6,FALSE)</f>
        <v>145</v>
      </c>
      <c r="G36" s="1">
        <f>_xlfn.XMATCH(TB_Vendas[[#This Row],[Categoria]],Desc_Categoria)</f>
        <v>2</v>
      </c>
      <c r="H36" s="42">
        <f>VLOOKUP(TB_Vendas[[#This Row],[Qtd]],Desc_Tabela,TB_Vendas[[#This Row],[Índice]])</f>
        <v>0.05</v>
      </c>
      <c r="I36" s="42" cm="1">
        <f t="array" ref="I36">INDEX(Desc_TabelaTotal,MATCH(TB_Vendas[[#This Row],[Qtd]],Desc_Qtde,1),MATCH(_xlfn.XLOOKUP(C36,TB_Produtos[[#All],[Código]],TB_Produtos[[#All],[Categoria]]),Desc_Categoria,0))</f>
        <v>0.05</v>
      </c>
      <c r="J36" s="42">
        <f>_xlfn.XLOOKUP(TB_Vendas[[#This Row],[Vendedor]],Vendedores!$A$4:$A$9,Vendedores!$D$5:$D$10)</f>
        <v>0.25</v>
      </c>
      <c r="K36" s="42">
        <f>IF(TB_Vendas[[#This Row],[Desc_Direto]]&gt;TB_Vendas[[#This Row],[Desc_Vendedor]],TB_Vendas[[#This Row],[Desc_Vendedor]],TB_Vendas[[#This Row],[Desc_Direto]])</f>
        <v>0.05</v>
      </c>
      <c r="L36" s="2">
        <f>TB_Vendas[[#This Row],[Preço Unitário]]*TB_Vendas[[#This Row],[Qtd]]</f>
        <v>290</v>
      </c>
      <c r="M36" s="1" t="s">
        <v>115</v>
      </c>
    </row>
    <row r="37" spans="1:13">
      <c r="A37" s="4">
        <f>MONTH(TB_Vendas[[#This Row],[Data]])</f>
        <v>4</v>
      </c>
      <c r="B37" s="3">
        <v>45028</v>
      </c>
      <c r="C37" s="4" t="s">
        <v>36</v>
      </c>
      <c r="D37" s="4" t="str" cm="1">
        <f t="array" ref="D37">_xlfn.XLOOKUP(TB_Vendas[[#This Row],[Código]],TB_Produtos[[#All],[Código]],TB_Produtos[[#All],[Categoria]])</f>
        <v>Acessórios</v>
      </c>
      <c r="E37" s="1">
        <v>1</v>
      </c>
      <c r="F37" s="8">
        <f>VLOOKUP(TB_Vendas[[#This Row],[Código]],TB_Produtos[#All],6,FALSE)</f>
        <v>39.9</v>
      </c>
      <c r="G37" s="1">
        <f>_xlfn.XMATCH(TB_Vendas[[#This Row],[Categoria]],Desc_Categoria)</f>
        <v>2</v>
      </c>
      <c r="H37" s="42">
        <f>VLOOKUP(TB_Vendas[[#This Row],[Qtd]],Desc_Tabela,TB_Vendas[[#This Row],[Índice]])</f>
        <v>0</v>
      </c>
      <c r="I37" s="42" cm="1">
        <f t="array" ref="I37">INDEX(Desc_TabelaTotal,MATCH(TB_Vendas[[#This Row],[Qtd]],Desc_Qtde,1),MATCH(_xlfn.XLOOKUP(C37,TB_Produtos[[#All],[Código]],TB_Produtos[[#All],[Categoria]]),Desc_Categoria,0))</f>
        <v>0</v>
      </c>
      <c r="J37" s="42">
        <f>_xlfn.XLOOKUP(TB_Vendas[[#This Row],[Vendedor]],Vendedores!$A$4:$A$9,Vendedores!$D$5:$D$10)</f>
        <v>0.1</v>
      </c>
      <c r="K37" s="42">
        <f>IF(TB_Vendas[[#This Row],[Desc_Direto]]&gt;TB_Vendas[[#This Row],[Desc_Vendedor]],TB_Vendas[[#This Row],[Desc_Vendedor]],TB_Vendas[[#This Row],[Desc_Direto]])</f>
        <v>0</v>
      </c>
      <c r="L37" s="2">
        <f>TB_Vendas[[#This Row],[Preço Unitário]]*TB_Vendas[[#This Row],[Qtd]]</f>
        <v>39.9</v>
      </c>
      <c r="M37" s="1" t="s">
        <v>116</v>
      </c>
    </row>
    <row r="38" spans="1:13">
      <c r="A38" s="4">
        <f>MONTH(TB_Vendas[[#This Row],[Data]])</f>
        <v>4</v>
      </c>
      <c r="B38" s="3">
        <v>45029</v>
      </c>
      <c r="C38" s="4" t="s">
        <v>56</v>
      </c>
      <c r="D38" s="4" t="str" cm="1">
        <f t="array" ref="D38">_xlfn.XLOOKUP(TB_Vendas[[#This Row],[Código]],TB_Produtos[[#All],[Código]],TB_Produtos[[#All],[Categoria]])</f>
        <v>Acessórios</v>
      </c>
      <c r="E38" s="1">
        <v>3</v>
      </c>
      <c r="F38" s="8">
        <f>VLOOKUP(TB_Vendas[[#This Row],[Código]],TB_Produtos[#All],6,FALSE)</f>
        <v>349.9</v>
      </c>
      <c r="G38" s="1">
        <f>_xlfn.XMATCH(TB_Vendas[[#This Row],[Categoria]],Desc_Categoria)</f>
        <v>2</v>
      </c>
      <c r="H38" s="42">
        <f>VLOOKUP(TB_Vendas[[#This Row],[Qtd]],Desc_Tabela,TB_Vendas[[#This Row],[Índice]])</f>
        <v>0.15</v>
      </c>
      <c r="I38" s="42" cm="1">
        <f t="array" ref="I38">INDEX(Desc_TabelaTotal,MATCH(TB_Vendas[[#This Row],[Qtd]],Desc_Qtde,1),MATCH(_xlfn.XLOOKUP(C38,TB_Produtos[[#All],[Código]],TB_Produtos[[#All],[Categoria]]),Desc_Categoria,0))</f>
        <v>0.15</v>
      </c>
      <c r="J38" s="42">
        <f>_xlfn.XLOOKUP(TB_Vendas[[#This Row],[Vendedor]],Vendedores!$A$4:$A$9,Vendedores!$D$5:$D$10)</f>
        <v>0.15</v>
      </c>
      <c r="K38" s="42">
        <f>IF(TB_Vendas[[#This Row],[Desc_Direto]]&gt;TB_Vendas[[#This Row],[Desc_Vendedor]],TB_Vendas[[#This Row],[Desc_Vendedor]],TB_Vendas[[#This Row],[Desc_Direto]])</f>
        <v>0.15</v>
      </c>
      <c r="L38" s="2">
        <f>TB_Vendas[[#This Row],[Preço Unitário]]*TB_Vendas[[#This Row],[Qtd]]</f>
        <v>1049.6999999999998</v>
      </c>
      <c r="M38" s="1" t="s">
        <v>118</v>
      </c>
    </row>
    <row r="39" spans="1:13">
      <c r="A39" s="4">
        <f>MONTH(TB_Vendas[[#This Row],[Data]])</f>
        <v>4</v>
      </c>
      <c r="B39" s="3">
        <v>45031</v>
      </c>
      <c r="C39" s="4" t="s">
        <v>107</v>
      </c>
      <c r="D39" s="4" t="str" cm="1">
        <f t="array" ref="D39">_xlfn.XLOOKUP(TB_Vendas[[#This Row],[Código]],TB_Produtos[[#All],[Código]],TB_Produtos[[#All],[Categoria]])</f>
        <v>Calçado</v>
      </c>
      <c r="E39" s="1">
        <v>4</v>
      </c>
      <c r="F39" s="8">
        <f>VLOOKUP(TB_Vendas[[#This Row],[Código]],TB_Produtos[#All],6,FALSE)</f>
        <v>89.9</v>
      </c>
      <c r="G39" s="1">
        <f>_xlfn.XMATCH(TB_Vendas[[#This Row],[Categoria]],Desc_Categoria)</f>
        <v>4</v>
      </c>
      <c r="H39" s="42">
        <f>VLOOKUP(TB_Vendas[[#This Row],[Qtd]],Desc_Tabela,TB_Vendas[[#This Row],[Índice]])</f>
        <v>0.15</v>
      </c>
      <c r="I39" s="42" cm="1">
        <f t="array" ref="I39">INDEX(Desc_TabelaTotal,MATCH(TB_Vendas[[#This Row],[Qtd]],Desc_Qtde,1),MATCH(_xlfn.XLOOKUP(C39,TB_Produtos[[#All],[Código]],TB_Produtos[[#All],[Categoria]]),Desc_Categoria,0))</f>
        <v>0.15</v>
      </c>
      <c r="J39" s="42">
        <f>_xlfn.XLOOKUP(TB_Vendas[[#This Row],[Vendedor]],Vendedores!$A$4:$A$9,Vendedores!$D$5:$D$10)</f>
        <v>0.25</v>
      </c>
      <c r="K39" s="42">
        <f>IF(TB_Vendas[[#This Row],[Desc_Direto]]&gt;TB_Vendas[[#This Row],[Desc_Vendedor]],TB_Vendas[[#This Row],[Desc_Vendedor]],TB_Vendas[[#This Row],[Desc_Direto]])</f>
        <v>0.15</v>
      </c>
      <c r="L39" s="2">
        <f>TB_Vendas[[#This Row],[Preço Unitário]]*TB_Vendas[[#This Row],[Qtd]]</f>
        <v>359.6</v>
      </c>
      <c r="M39" s="1" t="s">
        <v>115</v>
      </c>
    </row>
    <row r="40" spans="1:13">
      <c r="A40" s="4">
        <f>MONTH(TB_Vendas[[#This Row],[Data]])</f>
        <v>4</v>
      </c>
      <c r="B40" s="3">
        <v>45038</v>
      </c>
      <c r="C40" s="4" t="s">
        <v>104</v>
      </c>
      <c r="D40" s="4" t="str" cm="1">
        <f t="array" ref="D40">_xlfn.XLOOKUP(TB_Vendas[[#This Row],[Código]],TB_Produtos[[#All],[Código]],TB_Produtos[[#All],[Categoria]])</f>
        <v>Calçado</v>
      </c>
      <c r="E40" s="1">
        <v>2</v>
      </c>
      <c r="F40" s="8">
        <f>VLOOKUP(TB_Vendas[[#This Row],[Código]],TB_Produtos[#All],6,FALSE)</f>
        <v>89.9</v>
      </c>
      <c r="G40" s="1">
        <f>_xlfn.XMATCH(TB_Vendas[[#This Row],[Categoria]],Desc_Categoria)</f>
        <v>4</v>
      </c>
      <c r="H40" s="42">
        <f>VLOOKUP(TB_Vendas[[#This Row],[Qtd]],Desc_Tabela,TB_Vendas[[#This Row],[Índice]])</f>
        <v>0.1</v>
      </c>
      <c r="I40" s="42" cm="1">
        <f t="array" ref="I40">INDEX(Desc_TabelaTotal,MATCH(TB_Vendas[[#This Row],[Qtd]],Desc_Qtde,1),MATCH(_xlfn.XLOOKUP(C40,TB_Produtos[[#All],[Código]],TB_Produtos[[#All],[Categoria]]),Desc_Categoria,0))</f>
        <v>0.1</v>
      </c>
      <c r="J40" s="42">
        <f>_xlfn.XLOOKUP(TB_Vendas[[#This Row],[Vendedor]],Vendedores!$A$4:$A$9,Vendedores!$D$5:$D$10)</f>
        <v>0.15</v>
      </c>
      <c r="K40" s="42">
        <f>IF(TB_Vendas[[#This Row],[Desc_Direto]]&gt;TB_Vendas[[#This Row],[Desc_Vendedor]],TB_Vendas[[#This Row],[Desc_Vendedor]],TB_Vendas[[#This Row],[Desc_Direto]])</f>
        <v>0.1</v>
      </c>
      <c r="L40" s="2">
        <f>TB_Vendas[[#This Row],[Preço Unitário]]*TB_Vendas[[#This Row],[Qtd]]</f>
        <v>179.8</v>
      </c>
      <c r="M40" s="1" t="s">
        <v>118</v>
      </c>
    </row>
    <row r="41" spans="1:13">
      <c r="A41" s="4">
        <f>MONTH(TB_Vendas[[#This Row],[Data]])</f>
        <v>4</v>
      </c>
      <c r="B41" s="3">
        <v>45039</v>
      </c>
      <c r="C41" s="4" t="s">
        <v>32</v>
      </c>
      <c r="D41" s="4" t="str" cm="1">
        <f t="array" ref="D41">_xlfn.XLOOKUP(TB_Vendas[[#This Row],[Código]],TB_Produtos[[#All],[Código]],TB_Produtos[[#All],[Categoria]])</f>
        <v>Vestuário</v>
      </c>
      <c r="E41" s="1">
        <v>3</v>
      </c>
      <c r="F41" s="8">
        <f>VLOOKUP(TB_Vendas[[#This Row],[Código]],TB_Produtos[#All],6,FALSE)</f>
        <v>69.900000000000006</v>
      </c>
      <c r="G41" s="1">
        <f>_xlfn.XMATCH(TB_Vendas[[#This Row],[Categoria]],Desc_Categoria)</f>
        <v>3</v>
      </c>
      <c r="H41" s="42">
        <f>VLOOKUP(TB_Vendas[[#This Row],[Qtd]],Desc_Tabela,TB_Vendas[[#This Row],[Índice]])</f>
        <v>0.2</v>
      </c>
      <c r="I41" s="42" cm="1">
        <f t="array" ref="I41">INDEX(Desc_TabelaTotal,MATCH(TB_Vendas[[#This Row],[Qtd]],Desc_Qtde,1),MATCH(_xlfn.XLOOKUP(C41,TB_Produtos[[#All],[Código]],TB_Produtos[[#All],[Categoria]]),Desc_Categoria,0))</f>
        <v>0.2</v>
      </c>
      <c r="J41" s="42">
        <f>_xlfn.XLOOKUP(TB_Vendas[[#This Row],[Vendedor]],Vendedores!$A$4:$A$9,Vendedores!$D$5:$D$10)</f>
        <v>0.25</v>
      </c>
      <c r="K41" s="42">
        <f>IF(TB_Vendas[[#This Row],[Desc_Direto]]&gt;TB_Vendas[[#This Row],[Desc_Vendedor]],TB_Vendas[[#This Row],[Desc_Vendedor]],TB_Vendas[[#This Row],[Desc_Direto]])</f>
        <v>0.2</v>
      </c>
      <c r="L41" s="2">
        <f>TB_Vendas[[#This Row],[Preço Unitário]]*TB_Vendas[[#This Row],[Qtd]]</f>
        <v>209.70000000000002</v>
      </c>
      <c r="M41" s="1" t="s">
        <v>115</v>
      </c>
    </row>
    <row r="42" spans="1:13">
      <c r="A42" s="4">
        <f>MONTH(TB_Vendas[[#This Row],[Data]])</f>
        <v>4</v>
      </c>
      <c r="B42" s="3">
        <v>45042</v>
      </c>
      <c r="C42" s="4" t="s">
        <v>34</v>
      </c>
      <c r="D42" s="4" t="str" cm="1">
        <f t="array" ref="D42">_xlfn.XLOOKUP(TB_Vendas[[#This Row],[Código]],TB_Produtos[[#All],[Código]],TB_Produtos[[#All],[Categoria]])</f>
        <v>Acessórios</v>
      </c>
      <c r="E42" s="1">
        <v>1</v>
      </c>
      <c r="F42" s="8">
        <f>VLOOKUP(TB_Vendas[[#This Row],[Código]],TB_Produtos[#All],6,FALSE)</f>
        <v>145</v>
      </c>
      <c r="G42" s="1">
        <f>_xlfn.XMATCH(TB_Vendas[[#This Row],[Categoria]],Desc_Categoria)</f>
        <v>2</v>
      </c>
      <c r="H42" s="42">
        <f>VLOOKUP(TB_Vendas[[#This Row],[Qtd]],Desc_Tabela,TB_Vendas[[#This Row],[Índice]])</f>
        <v>0</v>
      </c>
      <c r="I42" s="42" cm="1">
        <f t="array" ref="I42">INDEX(Desc_TabelaTotal,MATCH(TB_Vendas[[#This Row],[Qtd]],Desc_Qtde,1),MATCH(_xlfn.XLOOKUP(C42,TB_Produtos[[#All],[Código]],TB_Produtos[[#All],[Categoria]]),Desc_Categoria,0))</f>
        <v>0</v>
      </c>
      <c r="J42" s="42">
        <f>_xlfn.XLOOKUP(TB_Vendas[[#This Row],[Vendedor]],Vendedores!$A$4:$A$9,Vendedores!$D$5:$D$10)</f>
        <v>0</v>
      </c>
      <c r="K42" s="42">
        <f>IF(TB_Vendas[[#This Row],[Desc_Direto]]&gt;TB_Vendas[[#This Row],[Desc_Vendedor]],TB_Vendas[[#This Row],[Desc_Vendedor]],TB_Vendas[[#This Row],[Desc_Direto]])</f>
        <v>0</v>
      </c>
      <c r="L42" s="2">
        <f>TB_Vendas[[#This Row],[Preço Unitário]]*TB_Vendas[[#This Row],[Qtd]]</f>
        <v>145</v>
      </c>
      <c r="M42" s="1" t="s">
        <v>119</v>
      </c>
    </row>
    <row r="43" spans="1:13">
      <c r="A43" s="4">
        <f>MONTH(TB_Vendas[[#This Row],[Data]])</f>
        <v>4</v>
      </c>
      <c r="B43" s="3">
        <v>45043</v>
      </c>
      <c r="C43" s="4" t="s">
        <v>41</v>
      </c>
      <c r="D43" s="4" t="str" cm="1">
        <f t="array" ref="D43">_xlfn.XLOOKUP(TB_Vendas[[#This Row],[Código]],TB_Produtos[[#All],[Código]],TB_Produtos[[#All],[Categoria]])</f>
        <v>Vestuário</v>
      </c>
      <c r="E43" s="1">
        <v>4</v>
      </c>
      <c r="F43" s="8">
        <f>VLOOKUP(TB_Vendas[[#This Row],[Código]],TB_Produtos[#All],6,FALSE)</f>
        <v>46.9</v>
      </c>
      <c r="G43" s="1">
        <f>_xlfn.XMATCH(TB_Vendas[[#This Row],[Categoria]],Desc_Categoria)</f>
        <v>3</v>
      </c>
      <c r="H43" s="42">
        <f>VLOOKUP(TB_Vendas[[#This Row],[Qtd]],Desc_Tabela,TB_Vendas[[#This Row],[Índice]])</f>
        <v>0.2</v>
      </c>
      <c r="I43" s="42" cm="1">
        <f t="array" ref="I43">INDEX(Desc_TabelaTotal,MATCH(TB_Vendas[[#This Row],[Qtd]],Desc_Qtde,1),MATCH(_xlfn.XLOOKUP(C43,TB_Produtos[[#All],[Código]],TB_Produtos[[#All],[Categoria]]),Desc_Categoria,0))</f>
        <v>0.2</v>
      </c>
      <c r="J43" s="42">
        <f>_xlfn.XLOOKUP(TB_Vendas[[#This Row],[Vendedor]],Vendedores!$A$4:$A$9,Vendedores!$D$5:$D$10)</f>
        <v>0.25</v>
      </c>
      <c r="K43" s="42">
        <f>IF(TB_Vendas[[#This Row],[Desc_Direto]]&gt;TB_Vendas[[#This Row],[Desc_Vendedor]],TB_Vendas[[#This Row],[Desc_Vendedor]],TB_Vendas[[#This Row],[Desc_Direto]])</f>
        <v>0.2</v>
      </c>
      <c r="L43" s="2">
        <f>TB_Vendas[[#This Row],[Preço Unitário]]*TB_Vendas[[#This Row],[Qtd]]</f>
        <v>187.6</v>
      </c>
      <c r="M43" s="1" t="s">
        <v>115</v>
      </c>
    </row>
    <row r="44" spans="1:13">
      <c r="A44" s="4">
        <f>MONTH(TB_Vendas[[#This Row],[Data]])</f>
        <v>5</v>
      </c>
      <c r="B44" s="3">
        <v>45054</v>
      </c>
      <c r="C44" s="4" t="s">
        <v>88</v>
      </c>
      <c r="D44" s="4" t="str" cm="1">
        <f t="array" ref="D44">_xlfn.XLOOKUP(TB_Vendas[[#This Row],[Código]],TB_Produtos[[#All],[Código]],TB_Produtos[[#All],[Categoria]])</f>
        <v>Vestuário</v>
      </c>
      <c r="E44" s="1">
        <v>2</v>
      </c>
      <c r="F44" s="8">
        <f>VLOOKUP(TB_Vendas[[#This Row],[Código]],TB_Produtos[#All],6,FALSE)</f>
        <v>72.5</v>
      </c>
      <c r="G44" s="1">
        <f>_xlfn.XMATCH(TB_Vendas[[#This Row],[Categoria]],Desc_Categoria)</f>
        <v>3</v>
      </c>
      <c r="H44" s="42">
        <f>VLOOKUP(TB_Vendas[[#This Row],[Qtd]],Desc_Tabela,TB_Vendas[[#This Row],[Índice]])</f>
        <v>0.15</v>
      </c>
      <c r="I44" s="42" cm="1">
        <f t="array" ref="I44">INDEX(Desc_TabelaTotal,MATCH(TB_Vendas[[#This Row],[Qtd]],Desc_Qtde,1),MATCH(_xlfn.XLOOKUP(C44,TB_Produtos[[#All],[Código]],TB_Produtos[[#All],[Categoria]]),Desc_Categoria,0))</f>
        <v>0.15</v>
      </c>
      <c r="J44" s="42">
        <f>_xlfn.XLOOKUP(TB_Vendas[[#This Row],[Vendedor]],Vendedores!$A$4:$A$9,Vendedores!$D$5:$D$10)</f>
        <v>0</v>
      </c>
      <c r="K44" s="42">
        <f>IF(TB_Vendas[[#This Row],[Desc_Direto]]&gt;TB_Vendas[[#This Row],[Desc_Vendedor]],TB_Vendas[[#This Row],[Desc_Vendedor]],TB_Vendas[[#This Row],[Desc_Direto]])</f>
        <v>0</v>
      </c>
      <c r="L44" s="2">
        <f>TB_Vendas[[#This Row],[Preço Unitário]]*TB_Vendas[[#This Row],[Qtd]]</f>
        <v>145</v>
      </c>
      <c r="M44" s="1" t="s">
        <v>119</v>
      </c>
    </row>
    <row r="45" spans="1:13">
      <c r="A45" s="4">
        <f>MONTH(TB_Vendas[[#This Row],[Data]])</f>
        <v>5</v>
      </c>
      <c r="B45" s="3">
        <v>45055</v>
      </c>
      <c r="C45" s="4" t="s">
        <v>67</v>
      </c>
      <c r="D45" s="4" t="str" cm="1">
        <f t="array" ref="D45">_xlfn.XLOOKUP(TB_Vendas[[#This Row],[Código]],TB_Produtos[[#All],[Código]],TB_Produtos[[#All],[Categoria]])</f>
        <v>Vestuário</v>
      </c>
      <c r="E45" s="1">
        <v>3</v>
      </c>
      <c r="F45" s="8">
        <f>VLOOKUP(TB_Vendas[[#This Row],[Código]],TB_Produtos[#All],6,FALSE)</f>
        <v>140</v>
      </c>
      <c r="G45" s="1">
        <f>_xlfn.XMATCH(TB_Vendas[[#This Row],[Categoria]],Desc_Categoria)</f>
        <v>3</v>
      </c>
      <c r="H45" s="42">
        <f>VLOOKUP(TB_Vendas[[#This Row],[Qtd]],Desc_Tabela,TB_Vendas[[#This Row],[Índice]])</f>
        <v>0.2</v>
      </c>
      <c r="I45" s="42" cm="1">
        <f t="array" ref="I45">INDEX(Desc_TabelaTotal,MATCH(TB_Vendas[[#This Row],[Qtd]],Desc_Qtde,1),MATCH(_xlfn.XLOOKUP(C45,TB_Produtos[[#All],[Código]],TB_Produtos[[#All],[Categoria]]),Desc_Categoria,0))</f>
        <v>0.2</v>
      </c>
      <c r="J45" s="42">
        <f>_xlfn.XLOOKUP(TB_Vendas[[#This Row],[Vendedor]],Vendedores!$A$4:$A$9,Vendedores!$D$5:$D$10)</f>
        <v>0.15</v>
      </c>
      <c r="K45" s="42">
        <f>IF(TB_Vendas[[#This Row],[Desc_Direto]]&gt;TB_Vendas[[#This Row],[Desc_Vendedor]],TB_Vendas[[#This Row],[Desc_Vendedor]],TB_Vendas[[#This Row],[Desc_Direto]])</f>
        <v>0.15</v>
      </c>
      <c r="L45" s="2">
        <f>TB_Vendas[[#This Row],[Preço Unitário]]*TB_Vendas[[#This Row],[Qtd]]</f>
        <v>420</v>
      </c>
      <c r="M45" s="1" t="s">
        <v>118</v>
      </c>
    </row>
    <row r="46" spans="1:13">
      <c r="A46" s="4">
        <f>MONTH(TB_Vendas[[#This Row],[Data]])</f>
        <v>5</v>
      </c>
      <c r="B46" s="3">
        <v>45056</v>
      </c>
      <c r="C46" s="4" t="s">
        <v>65</v>
      </c>
      <c r="D46" s="4" t="str" cm="1">
        <f t="array" ref="D46">_xlfn.XLOOKUP(TB_Vendas[[#This Row],[Código]],TB_Produtos[[#All],[Código]],TB_Produtos[[#All],[Categoria]])</f>
        <v>Vestuário</v>
      </c>
      <c r="E46" s="1">
        <v>1</v>
      </c>
      <c r="F46" s="8">
        <f>VLOOKUP(TB_Vendas[[#This Row],[Código]],TB_Produtos[#All],6,FALSE)</f>
        <v>91.4</v>
      </c>
      <c r="G46" s="1">
        <f>_xlfn.XMATCH(TB_Vendas[[#This Row],[Categoria]],Desc_Categoria)</f>
        <v>3</v>
      </c>
      <c r="H46" s="42">
        <f>VLOOKUP(TB_Vendas[[#This Row],[Qtd]],Desc_Tabela,TB_Vendas[[#This Row],[Índice]])</f>
        <v>0.1</v>
      </c>
      <c r="I46" s="42" cm="1">
        <f t="array" ref="I46">INDEX(Desc_TabelaTotal,MATCH(TB_Vendas[[#This Row],[Qtd]],Desc_Qtde,1),MATCH(_xlfn.XLOOKUP(C46,TB_Produtos[[#All],[Código]],TB_Produtos[[#All],[Categoria]]),Desc_Categoria,0))</f>
        <v>0.1</v>
      </c>
      <c r="J46" s="42">
        <f>_xlfn.XLOOKUP(TB_Vendas[[#This Row],[Vendedor]],Vendedores!$A$4:$A$9,Vendedores!$D$5:$D$10)</f>
        <v>0.1</v>
      </c>
      <c r="K46" s="42">
        <f>IF(TB_Vendas[[#This Row],[Desc_Direto]]&gt;TB_Vendas[[#This Row],[Desc_Vendedor]],TB_Vendas[[#This Row],[Desc_Vendedor]],TB_Vendas[[#This Row],[Desc_Direto]])</f>
        <v>0.1</v>
      </c>
      <c r="L46" s="2">
        <f>TB_Vendas[[#This Row],[Preço Unitário]]*TB_Vendas[[#This Row],[Qtd]]</f>
        <v>91.4</v>
      </c>
      <c r="M46" s="1" t="s">
        <v>116</v>
      </c>
    </row>
    <row r="47" spans="1:13">
      <c r="A47" s="4">
        <f>MONTH(TB_Vendas[[#This Row],[Data]])</f>
        <v>5</v>
      </c>
      <c r="B47" s="3">
        <v>45057</v>
      </c>
      <c r="C47" s="4" t="s">
        <v>56</v>
      </c>
      <c r="D47" s="4" t="str" cm="1">
        <f t="array" ref="D47">_xlfn.XLOOKUP(TB_Vendas[[#This Row],[Código]],TB_Produtos[[#All],[Código]],TB_Produtos[[#All],[Categoria]])</f>
        <v>Acessórios</v>
      </c>
      <c r="E47" s="1">
        <v>2</v>
      </c>
      <c r="F47" s="8">
        <f>VLOOKUP(TB_Vendas[[#This Row],[Código]],TB_Produtos[#All],6,FALSE)</f>
        <v>349.9</v>
      </c>
      <c r="G47" s="1">
        <f>_xlfn.XMATCH(TB_Vendas[[#This Row],[Categoria]],Desc_Categoria)</f>
        <v>2</v>
      </c>
      <c r="H47" s="42">
        <f>VLOOKUP(TB_Vendas[[#This Row],[Qtd]],Desc_Tabela,TB_Vendas[[#This Row],[Índice]])</f>
        <v>0.05</v>
      </c>
      <c r="I47" s="42" cm="1">
        <f t="array" ref="I47">INDEX(Desc_TabelaTotal,MATCH(TB_Vendas[[#This Row],[Qtd]],Desc_Qtde,1),MATCH(_xlfn.XLOOKUP(C47,TB_Produtos[[#All],[Código]],TB_Produtos[[#All],[Categoria]]),Desc_Categoria,0))</f>
        <v>0.05</v>
      </c>
      <c r="J47" s="42">
        <f>_xlfn.XLOOKUP(TB_Vendas[[#This Row],[Vendedor]],Vendedores!$A$4:$A$9,Vendedores!$D$5:$D$10)</f>
        <v>0.15</v>
      </c>
      <c r="K47" s="42">
        <f>IF(TB_Vendas[[#This Row],[Desc_Direto]]&gt;TB_Vendas[[#This Row],[Desc_Vendedor]],TB_Vendas[[#This Row],[Desc_Vendedor]],TB_Vendas[[#This Row],[Desc_Direto]])</f>
        <v>0.05</v>
      </c>
      <c r="L47" s="2">
        <f>TB_Vendas[[#This Row],[Preço Unitário]]*TB_Vendas[[#This Row],[Qtd]]</f>
        <v>699.8</v>
      </c>
      <c r="M47" s="1" t="s">
        <v>118</v>
      </c>
    </row>
    <row r="48" spans="1:13">
      <c r="A48" s="4">
        <f>MONTH(TB_Vendas[[#This Row],[Data]])</f>
        <v>5</v>
      </c>
      <c r="B48" s="3">
        <v>45058</v>
      </c>
      <c r="C48" s="4" t="s">
        <v>31</v>
      </c>
      <c r="D48" s="4" t="str" cm="1">
        <f t="array" ref="D48">_xlfn.XLOOKUP(TB_Vendas[[#This Row],[Código]],TB_Produtos[[#All],[Código]],TB_Produtos[[#All],[Categoria]])</f>
        <v>Vestuário</v>
      </c>
      <c r="E48" s="1">
        <v>3</v>
      </c>
      <c r="F48" s="8">
        <f>VLOOKUP(TB_Vendas[[#This Row],[Código]],TB_Produtos[#All],6,FALSE)</f>
        <v>65.900000000000006</v>
      </c>
      <c r="G48" s="1">
        <f>_xlfn.XMATCH(TB_Vendas[[#This Row],[Categoria]],Desc_Categoria)</f>
        <v>3</v>
      </c>
      <c r="H48" s="42">
        <f>VLOOKUP(TB_Vendas[[#This Row],[Qtd]],Desc_Tabela,TB_Vendas[[#This Row],[Índice]])</f>
        <v>0.2</v>
      </c>
      <c r="I48" s="42" cm="1">
        <f t="array" ref="I48">INDEX(Desc_TabelaTotal,MATCH(TB_Vendas[[#This Row],[Qtd]],Desc_Qtde,1),MATCH(_xlfn.XLOOKUP(C48,TB_Produtos[[#All],[Código]],TB_Produtos[[#All],[Categoria]]),Desc_Categoria,0))</f>
        <v>0.2</v>
      </c>
      <c r="J48" s="42">
        <f>_xlfn.XLOOKUP(TB_Vendas[[#This Row],[Vendedor]],Vendedores!$A$4:$A$9,Vendedores!$D$5:$D$10)</f>
        <v>0.1</v>
      </c>
      <c r="K48" s="42">
        <f>IF(TB_Vendas[[#This Row],[Desc_Direto]]&gt;TB_Vendas[[#This Row],[Desc_Vendedor]],TB_Vendas[[#This Row],[Desc_Vendedor]],TB_Vendas[[#This Row],[Desc_Direto]])</f>
        <v>0.1</v>
      </c>
      <c r="L48" s="2">
        <f>TB_Vendas[[#This Row],[Preço Unitário]]*TB_Vendas[[#This Row],[Qtd]]</f>
        <v>197.70000000000002</v>
      </c>
      <c r="M48" s="1" t="s">
        <v>116</v>
      </c>
    </row>
    <row r="49" spans="1:13">
      <c r="A49" s="4">
        <f>MONTH(TB_Vendas[[#This Row],[Data]])</f>
        <v>5</v>
      </c>
      <c r="B49" s="3">
        <v>45061</v>
      </c>
      <c r="C49" s="4" t="s">
        <v>65</v>
      </c>
      <c r="D49" s="4" t="str" cm="1">
        <f t="array" ref="D49">_xlfn.XLOOKUP(TB_Vendas[[#This Row],[Código]],TB_Produtos[[#All],[Código]],TB_Produtos[[#All],[Categoria]])</f>
        <v>Vestuário</v>
      </c>
      <c r="E49" s="1">
        <v>2</v>
      </c>
      <c r="F49" s="8">
        <f>VLOOKUP(TB_Vendas[[#This Row],[Código]],TB_Produtos[#All],6,FALSE)</f>
        <v>91.4</v>
      </c>
      <c r="G49" s="1">
        <f>_xlfn.XMATCH(TB_Vendas[[#This Row],[Categoria]],Desc_Categoria)</f>
        <v>3</v>
      </c>
      <c r="H49" s="42">
        <f>VLOOKUP(TB_Vendas[[#This Row],[Qtd]],Desc_Tabela,TB_Vendas[[#This Row],[Índice]])</f>
        <v>0.15</v>
      </c>
      <c r="I49" s="42" cm="1">
        <f t="array" ref="I49">INDEX(Desc_TabelaTotal,MATCH(TB_Vendas[[#This Row],[Qtd]],Desc_Qtde,1),MATCH(_xlfn.XLOOKUP(C49,TB_Produtos[[#All],[Código]],TB_Produtos[[#All],[Categoria]]),Desc_Categoria,0))</f>
        <v>0.15</v>
      </c>
      <c r="J49" s="42">
        <f>_xlfn.XLOOKUP(TB_Vendas[[#This Row],[Vendedor]],Vendedores!$A$4:$A$9,Vendedores!$D$5:$D$10)</f>
        <v>0.25</v>
      </c>
      <c r="K49" s="42">
        <f>IF(TB_Vendas[[#This Row],[Desc_Direto]]&gt;TB_Vendas[[#This Row],[Desc_Vendedor]],TB_Vendas[[#This Row],[Desc_Vendedor]],TB_Vendas[[#This Row],[Desc_Direto]])</f>
        <v>0.15</v>
      </c>
      <c r="L49" s="2">
        <f>TB_Vendas[[#This Row],[Preço Unitário]]*TB_Vendas[[#This Row],[Qtd]]</f>
        <v>182.8</v>
      </c>
      <c r="M49" s="1" t="s">
        <v>115</v>
      </c>
    </row>
    <row r="50" spans="1:13">
      <c r="A50" s="4">
        <f>MONTH(TB_Vendas[[#This Row],[Data]])</f>
        <v>5</v>
      </c>
      <c r="B50" s="3">
        <v>45064</v>
      </c>
      <c r="C50" s="4" t="s">
        <v>35</v>
      </c>
      <c r="D50" s="4" t="str" cm="1">
        <f t="array" ref="D50">_xlfn.XLOOKUP(TB_Vendas[[#This Row],[Código]],TB_Produtos[[#All],[Código]],TB_Produtos[[#All],[Categoria]])</f>
        <v>Acessórios</v>
      </c>
      <c r="E50" s="1">
        <v>4</v>
      </c>
      <c r="F50" s="8">
        <f>VLOOKUP(TB_Vendas[[#This Row],[Código]],TB_Produtos[#All],6,FALSE)</f>
        <v>259.89999999999998</v>
      </c>
      <c r="G50" s="1">
        <f>_xlfn.XMATCH(TB_Vendas[[#This Row],[Categoria]],Desc_Categoria)</f>
        <v>2</v>
      </c>
      <c r="H50" s="42">
        <f>VLOOKUP(TB_Vendas[[#This Row],[Qtd]],Desc_Tabela,TB_Vendas[[#This Row],[Índice]])</f>
        <v>0.15</v>
      </c>
      <c r="I50" s="42" cm="1">
        <f t="array" ref="I50">INDEX(Desc_TabelaTotal,MATCH(TB_Vendas[[#This Row],[Qtd]],Desc_Qtde,1),MATCH(_xlfn.XLOOKUP(C50,TB_Produtos[[#All],[Código]],TB_Produtos[[#All],[Categoria]]),Desc_Categoria,0))</f>
        <v>0.15</v>
      </c>
      <c r="J50" s="42">
        <f>_xlfn.XLOOKUP(TB_Vendas[[#This Row],[Vendedor]],Vendedores!$A$4:$A$9,Vendedores!$D$5:$D$10)</f>
        <v>0.1</v>
      </c>
      <c r="K50" s="42">
        <f>IF(TB_Vendas[[#This Row],[Desc_Direto]]&gt;TB_Vendas[[#This Row],[Desc_Vendedor]],TB_Vendas[[#This Row],[Desc_Vendedor]],TB_Vendas[[#This Row],[Desc_Direto]])</f>
        <v>0.1</v>
      </c>
      <c r="L50" s="2">
        <f>TB_Vendas[[#This Row],[Preço Unitário]]*TB_Vendas[[#This Row],[Qtd]]</f>
        <v>1039.5999999999999</v>
      </c>
      <c r="M50" s="1" t="s">
        <v>116</v>
      </c>
    </row>
    <row r="51" spans="1:13">
      <c r="A51" s="4">
        <f>MONTH(TB_Vendas[[#This Row],[Data]])</f>
        <v>6</v>
      </c>
      <c r="B51" s="3">
        <v>45084</v>
      </c>
      <c r="C51" s="4" t="s">
        <v>34</v>
      </c>
      <c r="D51" s="4" t="str" cm="1">
        <f t="array" ref="D51">_xlfn.XLOOKUP(TB_Vendas[[#This Row],[Código]],TB_Produtos[[#All],[Código]],TB_Produtos[[#All],[Categoria]])</f>
        <v>Acessórios</v>
      </c>
      <c r="E51" s="1">
        <v>3</v>
      </c>
      <c r="F51" s="8">
        <f>VLOOKUP(TB_Vendas[[#This Row],[Código]],TB_Produtos[#All],6,FALSE)</f>
        <v>145</v>
      </c>
      <c r="G51" s="1">
        <f>_xlfn.XMATCH(TB_Vendas[[#This Row],[Categoria]],Desc_Categoria)</f>
        <v>2</v>
      </c>
      <c r="H51" s="42">
        <f>VLOOKUP(TB_Vendas[[#This Row],[Qtd]],Desc_Tabela,TB_Vendas[[#This Row],[Índice]])</f>
        <v>0.15</v>
      </c>
      <c r="I51" s="42" cm="1">
        <f t="array" ref="I51">INDEX(Desc_TabelaTotal,MATCH(TB_Vendas[[#This Row],[Qtd]],Desc_Qtde,1),MATCH(_xlfn.XLOOKUP(C51,TB_Produtos[[#All],[Código]],TB_Produtos[[#All],[Categoria]]),Desc_Categoria,0))</f>
        <v>0.15</v>
      </c>
      <c r="J51" s="42">
        <f>_xlfn.XLOOKUP(TB_Vendas[[#This Row],[Vendedor]],Vendedores!$A$4:$A$9,Vendedores!$D$5:$D$10)</f>
        <v>0.25</v>
      </c>
      <c r="K51" s="42">
        <f>IF(TB_Vendas[[#This Row],[Desc_Direto]]&gt;TB_Vendas[[#This Row],[Desc_Vendedor]],TB_Vendas[[#This Row],[Desc_Vendedor]],TB_Vendas[[#This Row],[Desc_Direto]])</f>
        <v>0.15</v>
      </c>
      <c r="L51" s="2">
        <f>TB_Vendas[[#This Row],[Preço Unitário]]*TB_Vendas[[#This Row],[Qtd]]</f>
        <v>435</v>
      </c>
      <c r="M51" s="1" t="s">
        <v>115</v>
      </c>
    </row>
    <row r="52" spans="1:13">
      <c r="A52" s="4">
        <f>MONTH(TB_Vendas[[#This Row],[Data]])</f>
        <v>6</v>
      </c>
      <c r="B52" s="3">
        <v>45084</v>
      </c>
      <c r="C52" s="4" t="s">
        <v>68</v>
      </c>
      <c r="D52" s="4" t="str" cm="1">
        <f t="array" ref="D52">_xlfn.XLOOKUP(TB_Vendas[[#This Row],[Código]],TB_Produtos[[#All],[Código]],TB_Produtos[[#All],[Categoria]])</f>
        <v>Vestuário</v>
      </c>
      <c r="E52" s="1">
        <v>2</v>
      </c>
      <c r="F52" s="8">
        <f>VLOOKUP(TB_Vendas[[#This Row],[Código]],TB_Produtos[#All],6,FALSE)</f>
        <v>142.9</v>
      </c>
      <c r="G52" s="1">
        <f>_xlfn.XMATCH(TB_Vendas[[#This Row],[Categoria]],Desc_Categoria)</f>
        <v>3</v>
      </c>
      <c r="H52" s="42">
        <f>VLOOKUP(TB_Vendas[[#This Row],[Qtd]],Desc_Tabela,TB_Vendas[[#This Row],[Índice]])</f>
        <v>0.15</v>
      </c>
      <c r="I52" s="42" cm="1">
        <f t="array" ref="I52">INDEX(Desc_TabelaTotal,MATCH(TB_Vendas[[#This Row],[Qtd]],Desc_Qtde,1),MATCH(_xlfn.XLOOKUP(C52,TB_Produtos[[#All],[Código]],TB_Produtos[[#All],[Categoria]]),Desc_Categoria,0))</f>
        <v>0.15</v>
      </c>
      <c r="J52" s="42">
        <f>_xlfn.XLOOKUP(TB_Vendas[[#This Row],[Vendedor]],Vendedores!$A$4:$A$9,Vendedores!$D$5:$D$10)</f>
        <v>0.2</v>
      </c>
      <c r="K52" s="42">
        <f>IF(TB_Vendas[[#This Row],[Desc_Direto]]&gt;TB_Vendas[[#This Row],[Desc_Vendedor]],TB_Vendas[[#This Row],[Desc_Vendedor]],TB_Vendas[[#This Row],[Desc_Direto]])</f>
        <v>0.15</v>
      </c>
      <c r="L52" s="2">
        <f>TB_Vendas[[#This Row],[Preço Unitário]]*TB_Vendas[[#This Row],[Qtd]]</f>
        <v>285.8</v>
      </c>
      <c r="M52" s="1" t="s">
        <v>117</v>
      </c>
    </row>
    <row r="53" spans="1:13">
      <c r="A53" s="4">
        <f>MONTH(TB_Vendas[[#This Row],[Data]])</f>
        <v>6</v>
      </c>
      <c r="B53" s="3">
        <v>45086</v>
      </c>
      <c r="C53" s="4" t="s">
        <v>111</v>
      </c>
      <c r="D53" s="4" t="str" cm="1">
        <f t="array" ref="D53">_xlfn.XLOOKUP(TB_Vendas[[#This Row],[Código]],TB_Produtos[[#All],[Código]],TB_Produtos[[#All],[Categoria]])</f>
        <v>Vestuário</v>
      </c>
      <c r="E53" s="1">
        <v>2</v>
      </c>
      <c r="F53" s="8">
        <f>VLOOKUP(TB_Vendas[[#This Row],[Código]],TB_Produtos[#All],6,FALSE)</f>
        <v>180</v>
      </c>
      <c r="G53" s="1">
        <f>_xlfn.XMATCH(TB_Vendas[[#This Row],[Categoria]],Desc_Categoria)</f>
        <v>3</v>
      </c>
      <c r="H53" s="42">
        <f>VLOOKUP(TB_Vendas[[#This Row],[Qtd]],Desc_Tabela,TB_Vendas[[#This Row],[Índice]])</f>
        <v>0.15</v>
      </c>
      <c r="I53" s="42" cm="1">
        <f t="array" ref="I53">INDEX(Desc_TabelaTotal,MATCH(TB_Vendas[[#This Row],[Qtd]],Desc_Qtde,1),MATCH(_xlfn.XLOOKUP(C53,TB_Produtos[[#All],[Código]],TB_Produtos[[#All],[Categoria]]),Desc_Categoria,0))</f>
        <v>0.15</v>
      </c>
      <c r="J53" s="42">
        <f>_xlfn.XLOOKUP(TB_Vendas[[#This Row],[Vendedor]],Vendedores!$A$4:$A$9,Vendedores!$D$5:$D$10)</f>
        <v>0.25</v>
      </c>
      <c r="K53" s="42">
        <f>IF(TB_Vendas[[#This Row],[Desc_Direto]]&gt;TB_Vendas[[#This Row],[Desc_Vendedor]],TB_Vendas[[#This Row],[Desc_Vendedor]],TB_Vendas[[#This Row],[Desc_Direto]])</f>
        <v>0.15</v>
      </c>
      <c r="L53" s="2">
        <f>TB_Vendas[[#This Row],[Preço Unitário]]*TB_Vendas[[#This Row],[Qtd]]</f>
        <v>360</v>
      </c>
      <c r="M53" s="1" t="s">
        <v>115</v>
      </c>
    </row>
    <row r="54" spans="1:13">
      <c r="A54" s="4">
        <f>MONTH(TB_Vendas[[#This Row],[Data]])</f>
        <v>6</v>
      </c>
      <c r="B54" s="3">
        <v>45086</v>
      </c>
      <c r="C54" s="4" t="s">
        <v>45</v>
      </c>
      <c r="D54" s="4" t="str" cm="1">
        <f t="array" ref="D54">_xlfn.XLOOKUP(TB_Vendas[[#This Row],[Código]],TB_Produtos[[#All],[Código]],TB_Produtos[[#All],[Categoria]])</f>
        <v>Vestuário</v>
      </c>
      <c r="E54" s="1">
        <v>2</v>
      </c>
      <c r="F54" s="8">
        <f>VLOOKUP(TB_Vendas[[#This Row],[Código]],TB_Produtos[#All],6,FALSE)</f>
        <v>42.5</v>
      </c>
      <c r="G54" s="1">
        <f>_xlfn.XMATCH(TB_Vendas[[#This Row],[Categoria]],Desc_Categoria)</f>
        <v>3</v>
      </c>
      <c r="H54" s="42">
        <f>VLOOKUP(TB_Vendas[[#This Row],[Qtd]],Desc_Tabela,TB_Vendas[[#This Row],[Índice]])</f>
        <v>0.15</v>
      </c>
      <c r="I54" s="42" cm="1">
        <f t="array" ref="I54">INDEX(Desc_TabelaTotal,MATCH(TB_Vendas[[#This Row],[Qtd]],Desc_Qtde,1),MATCH(_xlfn.XLOOKUP(C54,TB_Produtos[[#All],[Código]],TB_Produtos[[#All],[Categoria]]),Desc_Categoria,0))</f>
        <v>0.15</v>
      </c>
      <c r="J54" s="42">
        <f>_xlfn.XLOOKUP(TB_Vendas[[#This Row],[Vendedor]],Vendedores!$A$4:$A$9,Vendedores!$D$5:$D$10)</f>
        <v>0.2</v>
      </c>
      <c r="K54" s="42">
        <f>IF(TB_Vendas[[#This Row],[Desc_Direto]]&gt;TB_Vendas[[#This Row],[Desc_Vendedor]],TB_Vendas[[#This Row],[Desc_Vendedor]],TB_Vendas[[#This Row],[Desc_Direto]])</f>
        <v>0.15</v>
      </c>
      <c r="L54" s="2">
        <f>TB_Vendas[[#This Row],[Preço Unitário]]*TB_Vendas[[#This Row],[Qtd]]</f>
        <v>85</v>
      </c>
      <c r="M54" s="1" t="s">
        <v>117</v>
      </c>
    </row>
    <row r="55" spans="1:13">
      <c r="A55" s="4">
        <f>MONTH(TB_Vendas[[#This Row],[Data]])</f>
        <v>6</v>
      </c>
      <c r="B55" s="3">
        <v>45088</v>
      </c>
      <c r="C55" s="4" t="s">
        <v>31</v>
      </c>
      <c r="D55" s="4" t="str" cm="1">
        <f t="array" ref="D55">_xlfn.XLOOKUP(TB_Vendas[[#This Row],[Código]],TB_Produtos[[#All],[Código]],TB_Produtos[[#All],[Categoria]])</f>
        <v>Vestuário</v>
      </c>
      <c r="E55" s="1">
        <v>1</v>
      </c>
      <c r="F55" s="8">
        <f>VLOOKUP(TB_Vendas[[#This Row],[Código]],TB_Produtos[#All],6,FALSE)</f>
        <v>65.900000000000006</v>
      </c>
      <c r="G55" s="1">
        <f>_xlfn.XMATCH(TB_Vendas[[#This Row],[Categoria]],Desc_Categoria)</f>
        <v>3</v>
      </c>
      <c r="H55" s="42">
        <f>VLOOKUP(TB_Vendas[[#This Row],[Qtd]],Desc_Tabela,TB_Vendas[[#This Row],[Índice]])</f>
        <v>0.1</v>
      </c>
      <c r="I55" s="42" cm="1">
        <f t="array" ref="I55">INDEX(Desc_TabelaTotal,MATCH(TB_Vendas[[#This Row],[Qtd]],Desc_Qtde,1),MATCH(_xlfn.XLOOKUP(C55,TB_Produtos[[#All],[Código]],TB_Produtos[[#All],[Categoria]]),Desc_Categoria,0))</f>
        <v>0.1</v>
      </c>
      <c r="J55" s="42">
        <f>_xlfn.XLOOKUP(TB_Vendas[[#This Row],[Vendedor]],Vendedores!$A$4:$A$9,Vendedores!$D$5:$D$10)</f>
        <v>0.1</v>
      </c>
      <c r="K55" s="42">
        <f>IF(TB_Vendas[[#This Row],[Desc_Direto]]&gt;TB_Vendas[[#This Row],[Desc_Vendedor]],TB_Vendas[[#This Row],[Desc_Vendedor]],TB_Vendas[[#This Row],[Desc_Direto]])</f>
        <v>0.1</v>
      </c>
      <c r="L55" s="2">
        <f>TB_Vendas[[#This Row],[Preço Unitário]]*TB_Vendas[[#This Row],[Qtd]]</f>
        <v>65.900000000000006</v>
      </c>
      <c r="M55" s="1" t="s">
        <v>116</v>
      </c>
    </row>
    <row r="56" spans="1:13">
      <c r="A56" s="4">
        <f>MONTH(TB_Vendas[[#This Row],[Data]])</f>
        <v>6</v>
      </c>
      <c r="B56" s="3">
        <v>45090</v>
      </c>
      <c r="C56" s="4" t="s">
        <v>108</v>
      </c>
      <c r="D56" s="4" t="str" cm="1">
        <f t="array" ref="D56">_xlfn.XLOOKUP(TB_Vendas[[#This Row],[Código]],TB_Produtos[[#All],[Código]],TB_Produtos[[#All],[Categoria]])</f>
        <v>Vestuário</v>
      </c>
      <c r="E56" s="1">
        <v>1</v>
      </c>
      <c r="F56" s="8">
        <f>VLOOKUP(TB_Vendas[[#This Row],[Código]],TB_Produtos[#All],6,FALSE)</f>
        <v>180</v>
      </c>
      <c r="G56" s="1">
        <f>_xlfn.XMATCH(TB_Vendas[[#This Row],[Categoria]],Desc_Categoria)</f>
        <v>3</v>
      </c>
      <c r="H56" s="42">
        <f>VLOOKUP(TB_Vendas[[#This Row],[Qtd]],Desc_Tabela,TB_Vendas[[#This Row],[Índice]])</f>
        <v>0.1</v>
      </c>
      <c r="I56" s="42" cm="1">
        <f t="array" ref="I56">INDEX(Desc_TabelaTotal,MATCH(TB_Vendas[[#This Row],[Qtd]],Desc_Qtde,1),MATCH(_xlfn.XLOOKUP(C56,TB_Produtos[[#All],[Código]],TB_Produtos[[#All],[Categoria]]),Desc_Categoria,0))</f>
        <v>0.1</v>
      </c>
      <c r="J56" s="42">
        <f>_xlfn.XLOOKUP(TB_Vendas[[#This Row],[Vendedor]],Vendedores!$A$4:$A$9,Vendedores!$D$5:$D$10)</f>
        <v>0.2</v>
      </c>
      <c r="K56" s="42">
        <f>IF(TB_Vendas[[#This Row],[Desc_Direto]]&gt;TB_Vendas[[#This Row],[Desc_Vendedor]],TB_Vendas[[#This Row],[Desc_Vendedor]],TB_Vendas[[#This Row],[Desc_Direto]])</f>
        <v>0.1</v>
      </c>
      <c r="L56" s="2">
        <f>TB_Vendas[[#This Row],[Preço Unitário]]*TB_Vendas[[#This Row],[Qtd]]</f>
        <v>180</v>
      </c>
      <c r="M56" s="1" t="s">
        <v>117</v>
      </c>
    </row>
    <row r="57" spans="1:13">
      <c r="A57" s="4">
        <f>MONTH(TB_Vendas[[#This Row],[Data]])</f>
        <v>6</v>
      </c>
      <c r="B57" s="3">
        <v>45093</v>
      </c>
      <c r="C57" s="4" t="s">
        <v>98</v>
      </c>
      <c r="D57" s="4" t="str" cm="1">
        <f t="array" ref="D57">_xlfn.XLOOKUP(TB_Vendas[[#This Row],[Código]],TB_Produtos[[#All],[Código]],TB_Produtos[[#All],[Categoria]])</f>
        <v>Vestuário</v>
      </c>
      <c r="E57" s="1">
        <v>3</v>
      </c>
      <c r="F57" s="8">
        <f>VLOOKUP(TB_Vendas[[#This Row],[Código]],TB_Produtos[#All],6,FALSE)</f>
        <v>32.9</v>
      </c>
      <c r="G57" s="1">
        <f>_xlfn.XMATCH(TB_Vendas[[#This Row],[Categoria]],Desc_Categoria)</f>
        <v>3</v>
      </c>
      <c r="H57" s="42">
        <f>VLOOKUP(TB_Vendas[[#This Row],[Qtd]],Desc_Tabela,TB_Vendas[[#This Row],[Índice]])</f>
        <v>0.2</v>
      </c>
      <c r="I57" s="42" cm="1">
        <f t="array" ref="I57">INDEX(Desc_TabelaTotal,MATCH(TB_Vendas[[#This Row],[Qtd]],Desc_Qtde,1),MATCH(_xlfn.XLOOKUP(C57,TB_Produtos[[#All],[Código]],TB_Produtos[[#All],[Categoria]]),Desc_Categoria,0))</f>
        <v>0.2</v>
      </c>
      <c r="J57" s="42">
        <f>_xlfn.XLOOKUP(TB_Vendas[[#This Row],[Vendedor]],Vendedores!$A$4:$A$9,Vendedores!$D$5:$D$10)</f>
        <v>0.1</v>
      </c>
      <c r="K57" s="42">
        <f>IF(TB_Vendas[[#This Row],[Desc_Direto]]&gt;TB_Vendas[[#This Row],[Desc_Vendedor]],TB_Vendas[[#This Row],[Desc_Vendedor]],TB_Vendas[[#This Row],[Desc_Direto]])</f>
        <v>0.1</v>
      </c>
      <c r="L57" s="2">
        <f>TB_Vendas[[#This Row],[Preço Unitário]]*TB_Vendas[[#This Row],[Qtd]]</f>
        <v>98.699999999999989</v>
      </c>
      <c r="M57" s="1" t="s">
        <v>116</v>
      </c>
    </row>
    <row r="58" spans="1:13">
      <c r="A58" s="4">
        <f>MONTH(TB_Vendas[[#This Row],[Data]])</f>
        <v>6</v>
      </c>
      <c r="B58" s="3">
        <v>45093</v>
      </c>
      <c r="C58" s="4" t="s">
        <v>39</v>
      </c>
      <c r="D58" s="4" t="str" cm="1">
        <f t="array" ref="D58">_xlfn.XLOOKUP(TB_Vendas[[#This Row],[Código]],TB_Produtos[[#All],[Código]],TB_Produtos[[#All],[Categoria]])</f>
        <v>Vestuário</v>
      </c>
      <c r="E58" s="1">
        <v>4</v>
      </c>
      <c r="F58" s="8">
        <f>VLOOKUP(TB_Vendas[[#This Row],[Código]],TB_Produtos[#All],6,FALSE)</f>
        <v>92.9</v>
      </c>
      <c r="G58" s="1">
        <f>_xlfn.XMATCH(TB_Vendas[[#This Row],[Categoria]],Desc_Categoria)</f>
        <v>3</v>
      </c>
      <c r="H58" s="42">
        <f>VLOOKUP(TB_Vendas[[#This Row],[Qtd]],Desc_Tabela,TB_Vendas[[#This Row],[Índice]])</f>
        <v>0.2</v>
      </c>
      <c r="I58" s="42" cm="1">
        <f t="array" ref="I58">INDEX(Desc_TabelaTotal,MATCH(TB_Vendas[[#This Row],[Qtd]],Desc_Qtde,1),MATCH(_xlfn.XLOOKUP(C58,TB_Produtos[[#All],[Código]],TB_Produtos[[#All],[Categoria]]),Desc_Categoria,0))</f>
        <v>0.2</v>
      </c>
      <c r="J58" s="42">
        <f>_xlfn.XLOOKUP(TB_Vendas[[#This Row],[Vendedor]],Vendedores!$A$4:$A$9,Vendedores!$D$5:$D$10)</f>
        <v>0.25</v>
      </c>
      <c r="K58" s="42">
        <f>IF(TB_Vendas[[#This Row],[Desc_Direto]]&gt;TB_Vendas[[#This Row],[Desc_Vendedor]],TB_Vendas[[#This Row],[Desc_Vendedor]],TB_Vendas[[#This Row],[Desc_Direto]])</f>
        <v>0.2</v>
      </c>
      <c r="L58" s="2">
        <f>TB_Vendas[[#This Row],[Preço Unitário]]*TB_Vendas[[#This Row],[Qtd]]</f>
        <v>371.6</v>
      </c>
      <c r="M58" s="1" t="s">
        <v>115</v>
      </c>
    </row>
    <row r="59" spans="1:13">
      <c r="A59" s="4">
        <f>MONTH(TB_Vendas[[#This Row],[Data]])</f>
        <v>6</v>
      </c>
      <c r="B59" s="3">
        <v>45094</v>
      </c>
      <c r="C59" s="4" t="s">
        <v>63</v>
      </c>
      <c r="D59" s="4" t="str" cm="1">
        <f t="array" ref="D59">_xlfn.XLOOKUP(TB_Vendas[[#This Row],[Código]],TB_Produtos[[#All],[Código]],TB_Produtos[[#All],[Categoria]])</f>
        <v>Calçado</v>
      </c>
      <c r="E59" s="1">
        <v>2</v>
      </c>
      <c r="F59" s="8">
        <f>VLOOKUP(TB_Vendas[[#This Row],[Código]],TB_Produtos[#All],6,FALSE)</f>
        <v>259.89999999999998</v>
      </c>
      <c r="G59" s="1">
        <f>_xlfn.XMATCH(TB_Vendas[[#This Row],[Categoria]],Desc_Categoria)</f>
        <v>4</v>
      </c>
      <c r="H59" s="42">
        <f>VLOOKUP(TB_Vendas[[#This Row],[Qtd]],Desc_Tabela,TB_Vendas[[#This Row],[Índice]])</f>
        <v>0.1</v>
      </c>
      <c r="I59" s="42" cm="1">
        <f t="array" ref="I59">INDEX(Desc_TabelaTotal,MATCH(TB_Vendas[[#This Row],[Qtd]],Desc_Qtde,1),MATCH(_xlfn.XLOOKUP(C59,TB_Produtos[[#All],[Código]],TB_Produtos[[#All],[Categoria]]),Desc_Categoria,0))</f>
        <v>0.1</v>
      </c>
      <c r="J59" s="42">
        <f>_xlfn.XLOOKUP(TB_Vendas[[#This Row],[Vendedor]],Vendedores!$A$4:$A$9,Vendedores!$D$5:$D$10)</f>
        <v>0.2</v>
      </c>
      <c r="K59" s="42">
        <f>IF(TB_Vendas[[#This Row],[Desc_Direto]]&gt;TB_Vendas[[#This Row],[Desc_Vendedor]],TB_Vendas[[#This Row],[Desc_Vendedor]],TB_Vendas[[#This Row],[Desc_Direto]])</f>
        <v>0.1</v>
      </c>
      <c r="L59" s="2">
        <f>TB_Vendas[[#This Row],[Preço Unitário]]*TB_Vendas[[#This Row],[Qtd]]</f>
        <v>519.79999999999995</v>
      </c>
      <c r="M59" s="1" t="s">
        <v>117</v>
      </c>
    </row>
    <row r="60" spans="1:13">
      <c r="A60" s="4">
        <f>MONTH(TB_Vendas[[#This Row],[Data]])</f>
        <v>6</v>
      </c>
      <c r="B60" s="3">
        <v>45097</v>
      </c>
      <c r="C60" s="4" t="s">
        <v>54</v>
      </c>
      <c r="D60" s="4" t="str" cm="1">
        <f t="array" ref="D60">_xlfn.XLOOKUP(TB_Vendas[[#This Row],[Código]],TB_Produtos[[#All],[Código]],TB_Produtos[[#All],[Categoria]])</f>
        <v>Vestuário</v>
      </c>
      <c r="E60" s="1">
        <v>1</v>
      </c>
      <c r="F60" s="8">
        <f>VLOOKUP(TB_Vendas[[#This Row],[Código]],TB_Produtos[#All],6,FALSE)</f>
        <v>259.89999999999998</v>
      </c>
      <c r="G60" s="1">
        <f>_xlfn.XMATCH(TB_Vendas[[#This Row],[Categoria]],Desc_Categoria)</f>
        <v>3</v>
      </c>
      <c r="H60" s="42">
        <f>VLOOKUP(TB_Vendas[[#This Row],[Qtd]],Desc_Tabela,TB_Vendas[[#This Row],[Índice]])</f>
        <v>0.1</v>
      </c>
      <c r="I60" s="42" cm="1">
        <f t="array" ref="I60">INDEX(Desc_TabelaTotal,MATCH(TB_Vendas[[#This Row],[Qtd]],Desc_Qtde,1),MATCH(_xlfn.XLOOKUP(C60,TB_Produtos[[#All],[Código]],TB_Produtos[[#All],[Categoria]]),Desc_Categoria,0))</f>
        <v>0.1</v>
      </c>
      <c r="J60" s="42">
        <f>_xlfn.XLOOKUP(TB_Vendas[[#This Row],[Vendedor]],Vendedores!$A$4:$A$9,Vendedores!$D$5:$D$10)</f>
        <v>0</v>
      </c>
      <c r="K60" s="42">
        <f>IF(TB_Vendas[[#This Row],[Desc_Direto]]&gt;TB_Vendas[[#This Row],[Desc_Vendedor]],TB_Vendas[[#This Row],[Desc_Vendedor]],TB_Vendas[[#This Row],[Desc_Direto]])</f>
        <v>0</v>
      </c>
      <c r="L60" s="2">
        <f>TB_Vendas[[#This Row],[Preço Unitário]]*TB_Vendas[[#This Row],[Qtd]]</f>
        <v>259.89999999999998</v>
      </c>
      <c r="M60" s="1" t="s">
        <v>119</v>
      </c>
    </row>
    <row r="61" spans="1:13">
      <c r="A61" s="4">
        <f>MONTH(TB_Vendas[[#This Row],[Data]])</f>
        <v>6</v>
      </c>
      <c r="B61" s="3">
        <v>45105</v>
      </c>
      <c r="C61" s="4" t="s">
        <v>45</v>
      </c>
      <c r="D61" s="4" t="str" cm="1">
        <f t="array" ref="D61">_xlfn.XLOOKUP(TB_Vendas[[#This Row],[Código]],TB_Produtos[[#All],[Código]],TB_Produtos[[#All],[Categoria]])</f>
        <v>Vestuário</v>
      </c>
      <c r="E61" s="1">
        <v>5</v>
      </c>
      <c r="F61" s="8">
        <f>VLOOKUP(TB_Vendas[[#This Row],[Código]],TB_Produtos[#All],6,FALSE)</f>
        <v>42.5</v>
      </c>
      <c r="G61" s="1">
        <f>_xlfn.XMATCH(TB_Vendas[[#This Row],[Categoria]],Desc_Categoria)</f>
        <v>3</v>
      </c>
      <c r="H61" s="42">
        <f>VLOOKUP(TB_Vendas[[#This Row],[Qtd]],Desc_Tabela,TB_Vendas[[#This Row],[Índice]])</f>
        <v>0.25</v>
      </c>
      <c r="I61" s="42" cm="1">
        <f t="array" ref="I61">INDEX(Desc_TabelaTotal,MATCH(TB_Vendas[[#This Row],[Qtd]],Desc_Qtde,1),MATCH(_xlfn.XLOOKUP(C61,TB_Produtos[[#All],[Código]],TB_Produtos[[#All],[Categoria]]),Desc_Categoria,0))</f>
        <v>0.25</v>
      </c>
      <c r="J61" s="42">
        <f>_xlfn.XLOOKUP(TB_Vendas[[#This Row],[Vendedor]],Vendedores!$A$4:$A$9,Vendedores!$D$5:$D$10)</f>
        <v>0</v>
      </c>
      <c r="K61" s="42">
        <f>IF(TB_Vendas[[#This Row],[Desc_Direto]]&gt;TB_Vendas[[#This Row],[Desc_Vendedor]],TB_Vendas[[#This Row],[Desc_Vendedor]],TB_Vendas[[#This Row],[Desc_Direto]])</f>
        <v>0</v>
      </c>
      <c r="L61" s="2">
        <f>TB_Vendas[[#This Row],[Preço Unitário]]*TB_Vendas[[#This Row],[Qtd]]</f>
        <v>212.5</v>
      </c>
      <c r="M61" s="1" t="s">
        <v>119</v>
      </c>
    </row>
    <row r="62" spans="1:13">
      <c r="A62" s="4">
        <f>MONTH(TB_Vendas[[#This Row],[Data]])</f>
        <v>6</v>
      </c>
      <c r="B62" s="3">
        <v>45105</v>
      </c>
      <c r="C62" s="4" t="s">
        <v>98</v>
      </c>
      <c r="D62" s="4" t="str" cm="1">
        <f t="array" ref="D62">_xlfn.XLOOKUP(TB_Vendas[[#This Row],[Código]],TB_Produtos[[#All],[Código]],TB_Produtos[[#All],[Categoria]])</f>
        <v>Vestuário</v>
      </c>
      <c r="E62" s="1">
        <v>2</v>
      </c>
      <c r="F62" s="8">
        <f>VLOOKUP(TB_Vendas[[#This Row],[Código]],TB_Produtos[#All],6,FALSE)</f>
        <v>32.9</v>
      </c>
      <c r="G62" s="1">
        <f>_xlfn.XMATCH(TB_Vendas[[#This Row],[Categoria]],Desc_Categoria)</f>
        <v>3</v>
      </c>
      <c r="H62" s="42">
        <f>VLOOKUP(TB_Vendas[[#This Row],[Qtd]],Desc_Tabela,TB_Vendas[[#This Row],[Índice]])</f>
        <v>0.15</v>
      </c>
      <c r="I62" s="42" cm="1">
        <f t="array" ref="I62">INDEX(Desc_TabelaTotal,MATCH(TB_Vendas[[#This Row],[Qtd]],Desc_Qtde,1),MATCH(_xlfn.XLOOKUP(C62,TB_Produtos[[#All],[Código]],TB_Produtos[[#All],[Categoria]]),Desc_Categoria,0))</f>
        <v>0.15</v>
      </c>
      <c r="J62" s="42">
        <f>_xlfn.XLOOKUP(TB_Vendas[[#This Row],[Vendedor]],Vendedores!$A$4:$A$9,Vendedores!$D$5:$D$10)</f>
        <v>0</v>
      </c>
      <c r="K62" s="42">
        <f>IF(TB_Vendas[[#This Row],[Desc_Direto]]&gt;TB_Vendas[[#This Row],[Desc_Vendedor]],TB_Vendas[[#This Row],[Desc_Vendedor]],TB_Vendas[[#This Row],[Desc_Direto]])</f>
        <v>0</v>
      </c>
      <c r="L62" s="2">
        <f>TB_Vendas[[#This Row],[Preço Unitário]]*TB_Vendas[[#This Row],[Qtd]]</f>
        <v>65.8</v>
      </c>
      <c r="M62" s="1" t="s">
        <v>119</v>
      </c>
    </row>
    <row r="63" spans="1:13">
      <c r="A63" s="4">
        <f>MONTH(TB_Vendas[[#This Row],[Data]])</f>
        <v>6</v>
      </c>
      <c r="B63" s="3">
        <v>45106</v>
      </c>
      <c r="C63" s="4" t="s">
        <v>39</v>
      </c>
      <c r="D63" s="4" t="str" cm="1">
        <f t="array" ref="D63">_xlfn.XLOOKUP(TB_Vendas[[#This Row],[Código]],TB_Produtos[[#All],[Código]],TB_Produtos[[#All],[Categoria]])</f>
        <v>Vestuário</v>
      </c>
      <c r="E63" s="1">
        <v>3</v>
      </c>
      <c r="F63" s="8">
        <f>VLOOKUP(TB_Vendas[[#This Row],[Código]],TB_Produtos[#All],6,FALSE)</f>
        <v>92.9</v>
      </c>
      <c r="G63" s="1">
        <f>_xlfn.XMATCH(TB_Vendas[[#This Row],[Categoria]],Desc_Categoria)</f>
        <v>3</v>
      </c>
      <c r="H63" s="42">
        <f>VLOOKUP(TB_Vendas[[#This Row],[Qtd]],Desc_Tabela,TB_Vendas[[#This Row],[Índice]])</f>
        <v>0.2</v>
      </c>
      <c r="I63" s="42" cm="1">
        <f t="array" ref="I63">INDEX(Desc_TabelaTotal,MATCH(TB_Vendas[[#This Row],[Qtd]],Desc_Qtde,1),MATCH(_xlfn.XLOOKUP(C63,TB_Produtos[[#All],[Código]],TB_Produtos[[#All],[Categoria]]),Desc_Categoria,0))</f>
        <v>0.2</v>
      </c>
      <c r="J63" s="42">
        <f>_xlfn.XLOOKUP(TB_Vendas[[#This Row],[Vendedor]],Vendedores!$A$4:$A$9,Vendedores!$D$5:$D$10)</f>
        <v>0.25</v>
      </c>
      <c r="K63" s="42">
        <f>IF(TB_Vendas[[#This Row],[Desc_Direto]]&gt;TB_Vendas[[#This Row],[Desc_Vendedor]],TB_Vendas[[#This Row],[Desc_Vendedor]],TB_Vendas[[#This Row],[Desc_Direto]])</f>
        <v>0.2</v>
      </c>
      <c r="L63" s="2">
        <f>TB_Vendas[[#This Row],[Preço Unitário]]*TB_Vendas[[#This Row],[Qtd]]</f>
        <v>278.70000000000005</v>
      </c>
      <c r="M63" s="1" t="s">
        <v>115</v>
      </c>
    </row>
    <row r="64" spans="1:13">
      <c r="A64" s="1">
        <f>MONTH(TB_Vendas[[#This Row],[Data]])</f>
        <v>6</v>
      </c>
      <c r="B64" s="3">
        <v>45107</v>
      </c>
      <c r="C64" s="4" t="s">
        <v>46</v>
      </c>
      <c r="D64" s="4" t="str" cm="1">
        <f t="array" ref="D64">_xlfn.XLOOKUP(TB_Vendas[[#This Row],[Código]],TB_Produtos[[#All],[Código]],TB_Produtos[[#All],[Categoria]])</f>
        <v>Vestuário</v>
      </c>
      <c r="E64" s="1">
        <v>10</v>
      </c>
      <c r="F64" s="8">
        <f>VLOOKUP(TB_Vendas[[#This Row],[Código]],TB_Produtos[#All],6,FALSE)</f>
        <v>25.9</v>
      </c>
      <c r="G64" s="1">
        <f>_xlfn.XMATCH(TB_Vendas[[#This Row],[Categoria]],Desc_Categoria)</f>
        <v>3</v>
      </c>
      <c r="H64" s="42">
        <f>VLOOKUP(TB_Vendas[[#This Row],[Qtd]],Desc_Tabela,TB_Vendas[[#This Row],[Índice]])</f>
        <v>0.3</v>
      </c>
      <c r="I64" s="42" cm="1">
        <f t="array" ref="I64">INDEX(Desc_TabelaTotal,MATCH(TB_Vendas[[#This Row],[Qtd]],Desc_Qtde,1),MATCH(_xlfn.XLOOKUP(C64,TB_Produtos[[#All],[Código]],TB_Produtos[[#All],[Categoria]]),Desc_Categoria,0))</f>
        <v>0.3</v>
      </c>
      <c r="J64" s="42">
        <f>_xlfn.XLOOKUP(TB_Vendas[[#This Row],[Vendedor]],Vendedores!$A$4:$A$9,Vendedores!$D$5:$D$10)</f>
        <v>0.25</v>
      </c>
      <c r="K64" s="42">
        <f>IF(TB_Vendas[[#This Row],[Desc_Direto]]&gt;TB_Vendas[[#This Row],[Desc_Vendedor]],TB_Vendas[[#This Row],[Desc_Vendedor]],TB_Vendas[[#This Row],[Desc_Direto]])</f>
        <v>0.25</v>
      </c>
      <c r="L64" s="2">
        <f>TB_Vendas[[#This Row],[Preço Unitário]]*TB_Vendas[[#This Row],[Qtd]]</f>
        <v>259</v>
      </c>
      <c r="M64" s="1" t="s">
        <v>115</v>
      </c>
    </row>
    <row r="65" spans="1:13">
      <c r="A65" s="1">
        <f>MONTH(TB_Vendas[[#This Row],[Data]])</f>
        <v>7</v>
      </c>
      <c r="B65" s="3">
        <v>45112</v>
      </c>
      <c r="C65" s="4" t="s">
        <v>90</v>
      </c>
      <c r="D65" s="4" t="str" cm="1">
        <f t="array" ref="D65">_xlfn.XLOOKUP(TB_Vendas[[#This Row],[Código]],TB_Produtos[[#All],[Código]],TB_Produtos[[#All],[Categoria]])</f>
        <v>Vestuário</v>
      </c>
      <c r="E65" s="1">
        <v>1</v>
      </c>
      <c r="F65" s="8">
        <f>VLOOKUP(TB_Vendas[[#This Row],[Código]],TB_Produtos[#All],6,FALSE)</f>
        <v>72.5</v>
      </c>
      <c r="G65" s="1">
        <f>_xlfn.XMATCH(TB_Vendas[[#This Row],[Categoria]],Desc_Categoria)</f>
        <v>3</v>
      </c>
      <c r="H65" s="42">
        <f>VLOOKUP(TB_Vendas[[#This Row],[Qtd]],Desc_Tabela,TB_Vendas[[#This Row],[Índice]])</f>
        <v>0.1</v>
      </c>
      <c r="I65" s="42" cm="1">
        <f t="array" ref="I65">INDEX(Desc_TabelaTotal,MATCH(TB_Vendas[[#This Row],[Qtd]],Desc_Qtde,1),MATCH(_xlfn.XLOOKUP(C65,TB_Produtos[[#All],[Código]],TB_Produtos[[#All],[Categoria]]),Desc_Categoria,0))</f>
        <v>0.1</v>
      </c>
      <c r="J65" s="42">
        <f>_xlfn.XLOOKUP(TB_Vendas[[#This Row],[Vendedor]],Vendedores!$A$4:$A$9,Vendedores!$D$5:$D$10)</f>
        <v>0.1</v>
      </c>
      <c r="K65" s="42">
        <f>IF(TB_Vendas[[#This Row],[Desc_Direto]]&gt;TB_Vendas[[#This Row],[Desc_Vendedor]],TB_Vendas[[#This Row],[Desc_Vendedor]],TB_Vendas[[#This Row],[Desc_Direto]])</f>
        <v>0.1</v>
      </c>
      <c r="L65" s="2">
        <f>TB_Vendas[[#This Row],[Preço Unitário]]*TB_Vendas[[#This Row],[Qtd]]</f>
        <v>72.5</v>
      </c>
      <c r="M65" s="1" t="s">
        <v>116</v>
      </c>
    </row>
    <row r="66" spans="1:13">
      <c r="A66" s="1">
        <f>MONTH(TB_Vendas[[#This Row],[Data]])</f>
        <v>7</v>
      </c>
      <c r="B66" s="3">
        <v>45113</v>
      </c>
      <c r="C66" s="4" t="s">
        <v>51</v>
      </c>
      <c r="D66" s="4" t="str" cm="1">
        <f t="array" ref="D66">_xlfn.XLOOKUP(TB_Vendas[[#This Row],[Código]],TB_Produtos[[#All],[Código]],TB_Produtos[[#All],[Categoria]])</f>
        <v>Vestuário</v>
      </c>
      <c r="E66" s="1">
        <v>4</v>
      </c>
      <c r="F66" s="8">
        <f>VLOOKUP(TB_Vendas[[#This Row],[Código]],TB_Produtos[#All],6,FALSE)</f>
        <v>302.89999999999998</v>
      </c>
      <c r="G66" s="1">
        <f>_xlfn.XMATCH(TB_Vendas[[#This Row],[Categoria]],Desc_Categoria)</f>
        <v>3</v>
      </c>
      <c r="H66" s="42">
        <f>VLOOKUP(TB_Vendas[[#This Row],[Qtd]],Desc_Tabela,TB_Vendas[[#This Row],[Índice]])</f>
        <v>0.2</v>
      </c>
      <c r="I66" s="42" cm="1">
        <f t="array" ref="I66">INDEX(Desc_TabelaTotal,MATCH(TB_Vendas[[#This Row],[Qtd]],Desc_Qtde,1),MATCH(_xlfn.XLOOKUP(C66,TB_Produtos[[#All],[Código]],TB_Produtos[[#All],[Categoria]]),Desc_Categoria,0))</f>
        <v>0.2</v>
      </c>
      <c r="J66" s="42">
        <f>_xlfn.XLOOKUP(TB_Vendas[[#This Row],[Vendedor]],Vendedores!$A$4:$A$9,Vendedores!$D$5:$D$10)</f>
        <v>0</v>
      </c>
      <c r="K66" s="42">
        <f>IF(TB_Vendas[[#This Row],[Desc_Direto]]&gt;TB_Vendas[[#This Row],[Desc_Vendedor]],TB_Vendas[[#This Row],[Desc_Vendedor]],TB_Vendas[[#This Row],[Desc_Direto]])</f>
        <v>0</v>
      </c>
      <c r="L66" s="2">
        <f>TB_Vendas[[#This Row],[Preço Unitário]]*TB_Vendas[[#This Row],[Qtd]]</f>
        <v>1211.5999999999999</v>
      </c>
      <c r="M66" s="1" t="s">
        <v>119</v>
      </c>
    </row>
    <row r="67" spans="1:13">
      <c r="A67" s="1">
        <f>MONTH(TB_Vendas[[#This Row],[Data]])</f>
        <v>7</v>
      </c>
      <c r="B67" s="3">
        <v>45114</v>
      </c>
      <c r="C67" s="4" t="s">
        <v>95</v>
      </c>
      <c r="D67" s="4" t="str" cm="1">
        <f t="array" ref="D67">_xlfn.XLOOKUP(TB_Vendas[[#This Row],[Código]],TB_Produtos[[#All],[Código]],TB_Produtos[[#All],[Categoria]])</f>
        <v>Vestuário</v>
      </c>
      <c r="E67" s="1">
        <v>8</v>
      </c>
      <c r="F67" s="8">
        <f>VLOOKUP(TB_Vendas[[#This Row],[Código]],TB_Produtos[#All],6,FALSE)</f>
        <v>289.89999999999998</v>
      </c>
      <c r="G67" s="1">
        <f>_xlfn.XMATCH(TB_Vendas[[#This Row],[Categoria]],Desc_Categoria)</f>
        <v>3</v>
      </c>
      <c r="H67" s="42">
        <f>VLOOKUP(TB_Vendas[[#This Row],[Qtd]],Desc_Tabela,TB_Vendas[[#This Row],[Índice]])</f>
        <v>0.25</v>
      </c>
      <c r="I67" s="42" cm="1">
        <f t="array" ref="I67">INDEX(Desc_TabelaTotal,MATCH(TB_Vendas[[#This Row],[Qtd]],Desc_Qtde,1),MATCH(_xlfn.XLOOKUP(C67,TB_Produtos[[#All],[Código]],TB_Produtos[[#All],[Categoria]]),Desc_Categoria,0))</f>
        <v>0.25</v>
      </c>
      <c r="J67" s="42">
        <f>_xlfn.XLOOKUP(TB_Vendas[[#This Row],[Vendedor]],Vendedores!$A$4:$A$9,Vendedores!$D$5:$D$10)</f>
        <v>0.25</v>
      </c>
      <c r="K67" s="42">
        <f>IF(TB_Vendas[[#This Row],[Desc_Direto]]&gt;TB_Vendas[[#This Row],[Desc_Vendedor]],TB_Vendas[[#This Row],[Desc_Vendedor]],TB_Vendas[[#This Row],[Desc_Direto]])</f>
        <v>0.25</v>
      </c>
      <c r="L67" s="2">
        <f>TB_Vendas[[#This Row],[Preço Unitário]]*TB_Vendas[[#This Row],[Qtd]]</f>
        <v>2319.1999999999998</v>
      </c>
      <c r="M67" s="1" t="s">
        <v>115</v>
      </c>
    </row>
    <row r="68" spans="1:13">
      <c r="A68" s="1">
        <f>MONTH(TB_Vendas[[#This Row],[Data]])</f>
        <v>7</v>
      </c>
      <c r="B68" s="3">
        <v>45119</v>
      </c>
      <c r="C68" s="4" t="s">
        <v>86</v>
      </c>
      <c r="D68" s="4" t="str" cm="1">
        <f t="array" ref="D68">_xlfn.XLOOKUP(TB_Vendas[[#This Row],[Código]],TB_Produtos[[#All],[Código]],TB_Produtos[[#All],[Categoria]])</f>
        <v>Vestuário</v>
      </c>
      <c r="E68" s="1">
        <v>2</v>
      </c>
      <c r="F68" s="8">
        <f>VLOOKUP(TB_Vendas[[#This Row],[Código]],TB_Produtos[#All],6,FALSE)</f>
        <v>54.9</v>
      </c>
      <c r="G68" s="1">
        <f>_xlfn.XMATCH(TB_Vendas[[#This Row],[Categoria]],Desc_Categoria)</f>
        <v>3</v>
      </c>
      <c r="H68" s="42">
        <f>VLOOKUP(TB_Vendas[[#This Row],[Qtd]],Desc_Tabela,TB_Vendas[[#This Row],[Índice]])</f>
        <v>0.15</v>
      </c>
      <c r="I68" s="42" cm="1">
        <f t="array" ref="I68">INDEX(Desc_TabelaTotal,MATCH(TB_Vendas[[#This Row],[Qtd]],Desc_Qtde,1),MATCH(_xlfn.XLOOKUP(C68,TB_Produtos[[#All],[Código]],TB_Produtos[[#All],[Categoria]]),Desc_Categoria,0))</f>
        <v>0.15</v>
      </c>
      <c r="J68" s="42">
        <f>_xlfn.XLOOKUP(TB_Vendas[[#This Row],[Vendedor]],Vendedores!$A$4:$A$9,Vendedores!$D$5:$D$10)</f>
        <v>0.25</v>
      </c>
      <c r="K68" s="42">
        <f>IF(TB_Vendas[[#This Row],[Desc_Direto]]&gt;TB_Vendas[[#This Row],[Desc_Vendedor]],TB_Vendas[[#This Row],[Desc_Vendedor]],TB_Vendas[[#This Row],[Desc_Direto]])</f>
        <v>0.15</v>
      </c>
      <c r="L68" s="2">
        <f>TB_Vendas[[#This Row],[Preço Unitário]]*TB_Vendas[[#This Row],[Qtd]]</f>
        <v>109.8</v>
      </c>
      <c r="M68" s="1" t="s">
        <v>115</v>
      </c>
    </row>
    <row r="69" spans="1:13">
      <c r="A69" s="1">
        <f>MONTH(TB_Vendas[[#This Row],[Data]])</f>
        <v>7</v>
      </c>
      <c r="B69" s="3">
        <v>45120</v>
      </c>
      <c r="C69" s="4" t="s">
        <v>44</v>
      </c>
      <c r="D69" s="4" t="str" cm="1">
        <f t="array" ref="D69">_xlfn.XLOOKUP(TB_Vendas[[#This Row],[Código]],TB_Produtos[[#All],[Código]],TB_Produtos[[#All],[Categoria]])</f>
        <v>Vestuário</v>
      </c>
      <c r="E69" s="1">
        <v>2</v>
      </c>
      <c r="F69" s="8">
        <f>VLOOKUP(TB_Vendas[[#This Row],[Código]],TB_Produtos[#All],6,FALSE)</f>
        <v>39.9</v>
      </c>
      <c r="G69" s="1">
        <f>_xlfn.XMATCH(TB_Vendas[[#This Row],[Categoria]],Desc_Categoria)</f>
        <v>3</v>
      </c>
      <c r="H69" s="42">
        <f>VLOOKUP(TB_Vendas[[#This Row],[Qtd]],Desc_Tabela,TB_Vendas[[#This Row],[Índice]])</f>
        <v>0.15</v>
      </c>
      <c r="I69" s="42" cm="1">
        <f t="array" ref="I69">INDEX(Desc_TabelaTotal,MATCH(TB_Vendas[[#This Row],[Qtd]],Desc_Qtde,1),MATCH(_xlfn.XLOOKUP(C69,TB_Produtos[[#All],[Código]],TB_Produtos[[#All],[Categoria]]),Desc_Categoria,0))</f>
        <v>0.15</v>
      </c>
      <c r="J69" s="42">
        <f>_xlfn.XLOOKUP(TB_Vendas[[#This Row],[Vendedor]],Vendedores!$A$4:$A$9,Vendedores!$D$5:$D$10)</f>
        <v>0</v>
      </c>
      <c r="K69" s="42">
        <f>IF(TB_Vendas[[#This Row],[Desc_Direto]]&gt;TB_Vendas[[#This Row],[Desc_Vendedor]],TB_Vendas[[#This Row],[Desc_Vendedor]],TB_Vendas[[#This Row],[Desc_Direto]])</f>
        <v>0</v>
      </c>
      <c r="L69" s="2">
        <f>TB_Vendas[[#This Row],[Preço Unitário]]*TB_Vendas[[#This Row],[Qtd]]</f>
        <v>79.8</v>
      </c>
      <c r="M69" s="1" t="s">
        <v>119</v>
      </c>
    </row>
    <row r="70" spans="1:13">
      <c r="A70" s="1">
        <f>MONTH(TB_Vendas[[#This Row],[Data]])</f>
        <v>7</v>
      </c>
      <c r="B70" s="3">
        <v>45124</v>
      </c>
      <c r="C70" s="4" t="s">
        <v>87</v>
      </c>
      <c r="D70" s="4" t="str" cm="1">
        <f t="array" ref="D70">_xlfn.XLOOKUP(TB_Vendas[[#This Row],[Código]],TB_Produtos[[#All],[Código]],TB_Produtos[[#All],[Categoria]])</f>
        <v>Vestuário</v>
      </c>
      <c r="E70" s="1">
        <v>7</v>
      </c>
      <c r="F70" s="8">
        <f>VLOOKUP(TB_Vendas[[#This Row],[Código]],TB_Produtos[#All],6,FALSE)</f>
        <v>54.9</v>
      </c>
      <c r="G70" s="1">
        <f>_xlfn.XMATCH(TB_Vendas[[#This Row],[Categoria]],Desc_Categoria)</f>
        <v>3</v>
      </c>
      <c r="H70" s="42">
        <f>VLOOKUP(TB_Vendas[[#This Row],[Qtd]],Desc_Tabela,TB_Vendas[[#This Row],[Índice]])</f>
        <v>0.25</v>
      </c>
      <c r="I70" s="42" cm="1">
        <f t="array" ref="I70">INDEX(Desc_TabelaTotal,MATCH(TB_Vendas[[#This Row],[Qtd]],Desc_Qtde,1),MATCH(_xlfn.XLOOKUP(C70,TB_Produtos[[#All],[Código]],TB_Produtos[[#All],[Categoria]]),Desc_Categoria,0))</f>
        <v>0.25</v>
      </c>
      <c r="J70" s="42">
        <f>_xlfn.XLOOKUP(TB_Vendas[[#This Row],[Vendedor]],Vendedores!$A$4:$A$9,Vendedores!$D$5:$D$10)</f>
        <v>0.15</v>
      </c>
      <c r="K70" s="42">
        <f>IF(TB_Vendas[[#This Row],[Desc_Direto]]&gt;TB_Vendas[[#This Row],[Desc_Vendedor]],TB_Vendas[[#This Row],[Desc_Vendedor]],TB_Vendas[[#This Row],[Desc_Direto]])</f>
        <v>0.15</v>
      </c>
      <c r="L70" s="2">
        <f>TB_Vendas[[#This Row],[Preço Unitário]]*TB_Vendas[[#This Row],[Qtd]]</f>
        <v>384.3</v>
      </c>
      <c r="M70" s="1" t="s">
        <v>118</v>
      </c>
    </row>
    <row r="71" spans="1:13">
      <c r="A71" s="1">
        <f>MONTH(TB_Vendas[[#This Row],[Data]])</f>
        <v>7</v>
      </c>
      <c r="B71" s="3">
        <v>45130</v>
      </c>
      <c r="C71" s="4" t="s">
        <v>50</v>
      </c>
      <c r="D71" s="4" t="str" cm="1">
        <f t="array" ref="D71">_xlfn.XLOOKUP(TB_Vendas[[#This Row],[Código]],TB_Produtos[[#All],[Código]],TB_Produtos[[#All],[Categoria]])</f>
        <v>Vestuário</v>
      </c>
      <c r="E71" s="1">
        <v>4</v>
      </c>
      <c r="F71" s="8">
        <f>VLOOKUP(TB_Vendas[[#This Row],[Código]],TB_Produtos[#All],6,FALSE)</f>
        <v>299.89999999999998</v>
      </c>
      <c r="G71" s="1">
        <f>_xlfn.XMATCH(TB_Vendas[[#This Row],[Categoria]],Desc_Categoria)</f>
        <v>3</v>
      </c>
      <c r="H71" s="42">
        <f>VLOOKUP(TB_Vendas[[#This Row],[Qtd]],Desc_Tabela,TB_Vendas[[#This Row],[Índice]])</f>
        <v>0.2</v>
      </c>
      <c r="I71" s="42" cm="1">
        <f t="array" ref="I71">INDEX(Desc_TabelaTotal,MATCH(TB_Vendas[[#This Row],[Qtd]],Desc_Qtde,1),MATCH(_xlfn.XLOOKUP(C71,TB_Produtos[[#All],[Código]],TB_Produtos[[#All],[Categoria]]),Desc_Categoria,0))</f>
        <v>0.2</v>
      </c>
      <c r="J71" s="42">
        <f>_xlfn.XLOOKUP(TB_Vendas[[#This Row],[Vendedor]],Vendedores!$A$4:$A$9,Vendedores!$D$5:$D$10)</f>
        <v>0</v>
      </c>
      <c r="K71" s="42">
        <f>IF(TB_Vendas[[#This Row],[Desc_Direto]]&gt;TB_Vendas[[#This Row],[Desc_Vendedor]],TB_Vendas[[#This Row],[Desc_Vendedor]],TB_Vendas[[#This Row],[Desc_Direto]])</f>
        <v>0</v>
      </c>
      <c r="L71" s="2">
        <f>TB_Vendas[[#This Row],[Preço Unitário]]*TB_Vendas[[#This Row],[Qtd]]</f>
        <v>1199.5999999999999</v>
      </c>
      <c r="M71" s="1" t="s">
        <v>119</v>
      </c>
    </row>
    <row r="72" spans="1:13">
      <c r="A72" s="1">
        <f>MONTH(TB_Vendas[[#This Row],[Data]])</f>
        <v>7</v>
      </c>
      <c r="B72" s="3">
        <v>45133</v>
      </c>
      <c r="C72" s="4" t="s">
        <v>54</v>
      </c>
      <c r="D72" s="4" t="str" cm="1">
        <f t="array" ref="D72">_xlfn.XLOOKUP(TB_Vendas[[#This Row],[Código]],TB_Produtos[[#All],[Código]],TB_Produtos[[#All],[Categoria]])</f>
        <v>Vestuário</v>
      </c>
      <c r="E72" s="1">
        <v>3</v>
      </c>
      <c r="F72" s="8">
        <f>VLOOKUP(TB_Vendas[[#This Row],[Código]],TB_Produtos[#All],6,FALSE)</f>
        <v>259.89999999999998</v>
      </c>
      <c r="G72" s="1">
        <f>_xlfn.XMATCH(TB_Vendas[[#This Row],[Categoria]],Desc_Categoria)</f>
        <v>3</v>
      </c>
      <c r="H72" s="42">
        <f>VLOOKUP(TB_Vendas[[#This Row],[Qtd]],Desc_Tabela,TB_Vendas[[#This Row],[Índice]])</f>
        <v>0.2</v>
      </c>
      <c r="I72" s="42" cm="1">
        <f t="array" ref="I72">INDEX(Desc_TabelaTotal,MATCH(TB_Vendas[[#This Row],[Qtd]],Desc_Qtde,1),MATCH(_xlfn.XLOOKUP(C72,TB_Produtos[[#All],[Código]],TB_Produtos[[#All],[Categoria]]),Desc_Categoria,0))</f>
        <v>0.2</v>
      </c>
      <c r="J72" s="42">
        <f>_xlfn.XLOOKUP(TB_Vendas[[#This Row],[Vendedor]],Vendedores!$A$4:$A$9,Vendedores!$D$5:$D$10)</f>
        <v>0.15</v>
      </c>
      <c r="K72" s="42">
        <f>IF(TB_Vendas[[#This Row],[Desc_Direto]]&gt;TB_Vendas[[#This Row],[Desc_Vendedor]],TB_Vendas[[#This Row],[Desc_Vendedor]],TB_Vendas[[#This Row],[Desc_Direto]])</f>
        <v>0.15</v>
      </c>
      <c r="L72" s="2">
        <f>TB_Vendas[[#This Row],[Preço Unitário]]*TB_Vendas[[#This Row],[Qtd]]</f>
        <v>779.69999999999993</v>
      </c>
      <c r="M72" s="1" t="s">
        <v>118</v>
      </c>
    </row>
    <row r="73" spans="1:13">
      <c r="A73" s="1">
        <f>MONTH(TB_Vendas[[#This Row],[Data]])</f>
        <v>7</v>
      </c>
      <c r="B73" s="3">
        <v>45135</v>
      </c>
      <c r="C73" s="4" t="s">
        <v>90</v>
      </c>
      <c r="D73" s="4" t="str" cm="1">
        <f t="array" ref="D73">_xlfn.XLOOKUP(TB_Vendas[[#This Row],[Código]],TB_Produtos[[#All],[Código]],TB_Produtos[[#All],[Categoria]])</f>
        <v>Vestuário</v>
      </c>
      <c r="E73" s="1">
        <v>9</v>
      </c>
      <c r="F73" s="8">
        <f>VLOOKUP(TB_Vendas[[#This Row],[Código]],TB_Produtos[#All],6,FALSE)</f>
        <v>72.5</v>
      </c>
      <c r="G73" s="1">
        <f>_xlfn.XMATCH(TB_Vendas[[#This Row],[Categoria]],Desc_Categoria)</f>
        <v>3</v>
      </c>
      <c r="H73" s="42">
        <f>VLOOKUP(TB_Vendas[[#This Row],[Qtd]],Desc_Tabela,TB_Vendas[[#This Row],[Índice]])</f>
        <v>0.25</v>
      </c>
      <c r="I73" s="42" cm="1">
        <f t="array" ref="I73">INDEX(Desc_TabelaTotal,MATCH(TB_Vendas[[#This Row],[Qtd]],Desc_Qtde,1),MATCH(_xlfn.XLOOKUP(C73,TB_Produtos[[#All],[Código]],TB_Produtos[[#All],[Categoria]]),Desc_Categoria,0))</f>
        <v>0.25</v>
      </c>
      <c r="J73" s="42">
        <f>_xlfn.XLOOKUP(TB_Vendas[[#This Row],[Vendedor]],Vendedores!$A$4:$A$9,Vendedores!$D$5:$D$10)</f>
        <v>0.2</v>
      </c>
      <c r="K73" s="42">
        <f>IF(TB_Vendas[[#This Row],[Desc_Direto]]&gt;TB_Vendas[[#This Row],[Desc_Vendedor]],TB_Vendas[[#This Row],[Desc_Vendedor]],TB_Vendas[[#This Row],[Desc_Direto]])</f>
        <v>0.2</v>
      </c>
      <c r="L73" s="2">
        <f>TB_Vendas[[#This Row],[Preço Unitário]]*TB_Vendas[[#This Row],[Qtd]]</f>
        <v>652.5</v>
      </c>
      <c r="M73" s="1" t="s">
        <v>117</v>
      </c>
    </row>
    <row r="74" spans="1:13">
      <c r="A74" s="1">
        <f>MONTH(TB_Vendas[[#This Row],[Data]])</f>
        <v>7</v>
      </c>
      <c r="B74" s="3">
        <v>45136</v>
      </c>
      <c r="C74" s="4" t="s">
        <v>52</v>
      </c>
      <c r="D74" s="4" t="str" cm="1">
        <f t="array" ref="D74">_xlfn.XLOOKUP(TB_Vendas[[#This Row],[Código]],TB_Produtos[[#All],[Código]],TB_Produtos[[#All],[Categoria]])</f>
        <v>Vestuário</v>
      </c>
      <c r="E74" s="1">
        <v>4</v>
      </c>
      <c r="F74" s="8">
        <f>VLOOKUP(TB_Vendas[[#This Row],[Código]],TB_Produtos[#All],6,FALSE)</f>
        <v>300</v>
      </c>
      <c r="G74" s="1">
        <f>_xlfn.XMATCH(TB_Vendas[[#This Row],[Categoria]],Desc_Categoria)</f>
        <v>3</v>
      </c>
      <c r="H74" s="42">
        <f>VLOOKUP(TB_Vendas[[#This Row],[Qtd]],Desc_Tabela,TB_Vendas[[#This Row],[Índice]])</f>
        <v>0.2</v>
      </c>
      <c r="I74" s="42" cm="1">
        <f t="array" ref="I74">INDEX(Desc_TabelaTotal,MATCH(TB_Vendas[[#This Row],[Qtd]],Desc_Qtde,1),MATCH(_xlfn.XLOOKUP(C74,TB_Produtos[[#All],[Código]],TB_Produtos[[#All],[Categoria]]),Desc_Categoria,0))</f>
        <v>0.2</v>
      </c>
      <c r="J74" s="42">
        <f>_xlfn.XLOOKUP(TB_Vendas[[#This Row],[Vendedor]],Vendedores!$A$4:$A$9,Vendedores!$D$5:$D$10)</f>
        <v>0</v>
      </c>
      <c r="K74" s="42">
        <f>IF(TB_Vendas[[#This Row],[Desc_Direto]]&gt;TB_Vendas[[#This Row],[Desc_Vendedor]],TB_Vendas[[#This Row],[Desc_Vendedor]],TB_Vendas[[#This Row],[Desc_Direto]])</f>
        <v>0</v>
      </c>
      <c r="L74" s="2">
        <f>TB_Vendas[[#This Row],[Preço Unitário]]*TB_Vendas[[#This Row],[Qtd]]</f>
        <v>1200</v>
      </c>
      <c r="M74" s="1" t="s">
        <v>119</v>
      </c>
    </row>
    <row r="75" spans="1:13">
      <c r="A75" s="1">
        <f>MONTH(TB_Vendas[[#This Row],[Data]])</f>
        <v>7</v>
      </c>
      <c r="B75" s="3">
        <v>45137</v>
      </c>
      <c r="C75" s="4" t="s">
        <v>31</v>
      </c>
      <c r="D75" s="4" t="str" cm="1">
        <f t="array" ref="D75">_xlfn.XLOOKUP(TB_Vendas[[#This Row],[Código]],TB_Produtos[[#All],[Código]],TB_Produtos[[#All],[Categoria]])</f>
        <v>Vestuário</v>
      </c>
      <c r="E75" s="1">
        <v>9</v>
      </c>
      <c r="F75" s="8">
        <f>VLOOKUP(TB_Vendas[[#This Row],[Código]],TB_Produtos[#All],6,FALSE)</f>
        <v>65.900000000000006</v>
      </c>
      <c r="G75" s="1">
        <f>_xlfn.XMATCH(TB_Vendas[[#This Row],[Categoria]],Desc_Categoria)</f>
        <v>3</v>
      </c>
      <c r="H75" s="42">
        <f>VLOOKUP(TB_Vendas[[#This Row],[Qtd]],Desc_Tabela,TB_Vendas[[#This Row],[Índice]])</f>
        <v>0.25</v>
      </c>
      <c r="I75" s="42" cm="1">
        <f t="array" ref="I75">INDEX(Desc_TabelaTotal,MATCH(TB_Vendas[[#This Row],[Qtd]],Desc_Qtde,1),MATCH(_xlfn.XLOOKUP(C75,TB_Produtos[[#All],[Código]],TB_Produtos[[#All],[Categoria]]),Desc_Categoria,0))</f>
        <v>0.25</v>
      </c>
      <c r="J75" s="42">
        <f>_xlfn.XLOOKUP(TB_Vendas[[#This Row],[Vendedor]],Vendedores!$A$4:$A$9,Vendedores!$D$5:$D$10)</f>
        <v>0</v>
      </c>
      <c r="K75" s="42">
        <f>IF(TB_Vendas[[#This Row],[Desc_Direto]]&gt;TB_Vendas[[#This Row],[Desc_Vendedor]],TB_Vendas[[#This Row],[Desc_Vendedor]],TB_Vendas[[#This Row],[Desc_Direto]])</f>
        <v>0</v>
      </c>
      <c r="L75" s="2">
        <f>TB_Vendas[[#This Row],[Preço Unitário]]*TB_Vendas[[#This Row],[Qtd]]</f>
        <v>593.1</v>
      </c>
      <c r="M75" s="1" t="s">
        <v>119</v>
      </c>
    </row>
    <row r="76" spans="1:13">
      <c r="A76" s="1">
        <f>MONTH(TB_Vendas[[#This Row],[Data]])</f>
        <v>8</v>
      </c>
      <c r="B76" s="3">
        <v>45143</v>
      </c>
      <c r="C76" s="4" t="s">
        <v>39</v>
      </c>
      <c r="D76" s="4" t="str" cm="1">
        <f t="array" ref="D76">_xlfn.XLOOKUP(TB_Vendas[[#This Row],[Código]],TB_Produtos[[#All],[Código]],TB_Produtos[[#All],[Categoria]])</f>
        <v>Vestuário</v>
      </c>
      <c r="E76" s="1">
        <v>10</v>
      </c>
      <c r="F76" s="8">
        <f>VLOOKUP(TB_Vendas[[#This Row],[Código]],TB_Produtos[#All],6,FALSE)</f>
        <v>92.9</v>
      </c>
      <c r="G76" s="1">
        <f>_xlfn.XMATCH(TB_Vendas[[#This Row],[Categoria]],Desc_Categoria)</f>
        <v>3</v>
      </c>
      <c r="H76" s="42">
        <f>VLOOKUP(TB_Vendas[[#This Row],[Qtd]],Desc_Tabela,TB_Vendas[[#This Row],[Índice]])</f>
        <v>0.3</v>
      </c>
      <c r="I76" s="42" cm="1">
        <f t="array" ref="I76">INDEX(Desc_TabelaTotal,MATCH(TB_Vendas[[#This Row],[Qtd]],Desc_Qtde,1),MATCH(_xlfn.XLOOKUP(C76,TB_Produtos[[#All],[Código]],TB_Produtos[[#All],[Categoria]]),Desc_Categoria,0))</f>
        <v>0.3</v>
      </c>
      <c r="J76" s="42">
        <f>_xlfn.XLOOKUP(TB_Vendas[[#This Row],[Vendedor]],Vendedores!$A$4:$A$9,Vendedores!$D$5:$D$10)</f>
        <v>0</v>
      </c>
      <c r="K76" s="42">
        <f>IF(TB_Vendas[[#This Row],[Desc_Direto]]&gt;TB_Vendas[[#This Row],[Desc_Vendedor]],TB_Vendas[[#This Row],[Desc_Vendedor]],TB_Vendas[[#This Row],[Desc_Direto]])</f>
        <v>0</v>
      </c>
      <c r="L76" s="2">
        <f>TB_Vendas[[#This Row],[Preço Unitário]]*TB_Vendas[[#This Row],[Qtd]]</f>
        <v>929</v>
      </c>
      <c r="M76" s="1" t="s">
        <v>119</v>
      </c>
    </row>
    <row r="77" spans="1:13">
      <c r="A77" s="1">
        <f>MONTH(TB_Vendas[[#This Row],[Data]])</f>
        <v>8</v>
      </c>
      <c r="B77" s="3">
        <v>45144</v>
      </c>
      <c r="C77" s="4" t="s">
        <v>107</v>
      </c>
      <c r="D77" s="4" t="str" cm="1">
        <f t="array" ref="D77">_xlfn.XLOOKUP(TB_Vendas[[#This Row],[Código]],TB_Produtos[[#All],[Código]],TB_Produtos[[#All],[Categoria]])</f>
        <v>Calçado</v>
      </c>
      <c r="E77" s="1">
        <v>1</v>
      </c>
      <c r="F77" s="8">
        <f>VLOOKUP(TB_Vendas[[#This Row],[Código]],TB_Produtos[#All],6,FALSE)</f>
        <v>89.9</v>
      </c>
      <c r="G77" s="1">
        <f>_xlfn.XMATCH(TB_Vendas[[#This Row],[Categoria]],Desc_Categoria)</f>
        <v>4</v>
      </c>
      <c r="H77" s="42">
        <f>VLOOKUP(TB_Vendas[[#This Row],[Qtd]],Desc_Tabela,TB_Vendas[[#This Row],[Índice]])</f>
        <v>0</v>
      </c>
      <c r="I77" s="42" cm="1">
        <f t="array" ref="I77">INDEX(Desc_TabelaTotal,MATCH(TB_Vendas[[#This Row],[Qtd]],Desc_Qtde,1),MATCH(_xlfn.XLOOKUP(C77,TB_Produtos[[#All],[Código]],TB_Produtos[[#All],[Categoria]]),Desc_Categoria,0))</f>
        <v>0</v>
      </c>
      <c r="J77" s="42">
        <f>_xlfn.XLOOKUP(TB_Vendas[[#This Row],[Vendedor]],Vendedores!$A$4:$A$9,Vendedores!$D$5:$D$10)</f>
        <v>0.2</v>
      </c>
      <c r="K77" s="42">
        <f>IF(TB_Vendas[[#This Row],[Desc_Direto]]&gt;TB_Vendas[[#This Row],[Desc_Vendedor]],TB_Vendas[[#This Row],[Desc_Vendedor]],TB_Vendas[[#This Row],[Desc_Direto]])</f>
        <v>0</v>
      </c>
      <c r="L77" s="2">
        <f>TB_Vendas[[#This Row],[Preço Unitário]]*TB_Vendas[[#This Row],[Qtd]]</f>
        <v>89.9</v>
      </c>
      <c r="M77" s="1" t="s">
        <v>117</v>
      </c>
    </row>
    <row r="78" spans="1:13">
      <c r="A78" s="1">
        <f>MONTH(TB_Vendas[[#This Row],[Data]])</f>
        <v>8</v>
      </c>
      <c r="B78" s="3">
        <v>45145</v>
      </c>
      <c r="C78" s="4" t="s">
        <v>100</v>
      </c>
      <c r="D78" s="4" t="str" cm="1">
        <f t="array" ref="D78">_xlfn.XLOOKUP(TB_Vendas[[#This Row],[Código]],TB_Produtos[[#All],[Código]],TB_Produtos[[#All],[Categoria]])</f>
        <v>Vestuário</v>
      </c>
      <c r="E78" s="1">
        <v>2</v>
      </c>
      <c r="F78" s="8">
        <f>VLOOKUP(TB_Vendas[[#This Row],[Código]],TB_Produtos[#All],6,FALSE)</f>
        <v>49.9</v>
      </c>
      <c r="G78" s="1">
        <f>_xlfn.XMATCH(TB_Vendas[[#This Row],[Categoria]],Desc_Categoria)</f>
        <v>3</v>
      </c>
      <c r="H78" s="42">
        <f>VLOOKUP(TB_Vendas[[#This Row],[Qtd]],Desc_Tabela,TB_Vendas[[#This Row],[Índice]])</f>
        <v>0.15</v>
      </c>
      <c r="I78" s="42" cm="1">
        <f t="array" ref="I78">INDEX(Desc_TabelaTotal,MATCH(TB_Vendas[[#This Row],[Qtd]],Desc_Qtde,1),MATCH(_xlfn.XLOOKUP(C78,TB_Produtos[[#All],[Código]],TB_Produtos[[#All],[Categoria]]),Desc_Categoria,0))</f>
        <v>0.15</v>
      </c>
      <c r="J78" s="42">
        <f>_xlfn.XLOOKUP(TB_Vendas[[#This Row],[Vendedor]],Vendedores!$A$4:$A$9,Vendedores!$D$5:$D$10)</f>
        <v>0.2</v>
      </c>
      <c r="K78" s="42">
        <f>IF(TB_Vendas[[#This Row],[Desc_Direto]]&gt;TB_Vendas[[#This Row],[Desc_Vendedor]],TB_Vendas[[#This Row],[Desc_Vendedor]],TB_Vendas[[#This Row],[Desc_Direto]])</f>
        <v>0.15</v>
      </c>
      <c r="L78" s="2">
        <f>TB_Vendas[[#This Row],[Preço Unitário]]*TB_Vendas[[#This Row],[Qtd]]</f>
        <v>99.8</v>
      </c>
      <c r="M78" s="1" t="s">
        <v>117</v>
      </c>
    </row>
    <row r="79" spans="1:13">
      <c r="A79" s="1">
        <f>MONTH(TB_Vendas[[#This Row],[Data]])</f>
        <v>8</v>
      </c>
      <c r="B79" s="3">
        <v>45146</v>
      </c>
      <c r="C79" s="4" t="s">
        <v>85</v>
      </c>
      <c r="D79" s="4" t="str" cm="1">
        <f t="array" ref="D79">_xlfn.XLOOKUP(TB_Vendas[[#This Row],[Código]],TB_Produtos[[#All],[Código]],TB_Produtos[[#All],[Categoria]])</f>
        <v>Vestuário</v>
      </c>
      <c r="E79" s="1">
        <v>8</v>
      </c>
      <c r="F79" s="8">
        <f>VLOOKUP(TB_Vendas[[#This Row],[Código]],TB_Produtos[#All],6,FALSE)</f>
        <v>70</v>
      </c>
      <c r="G79" s="1">
        <f>_xlfn.XMATCH(TB_Vendas[[#This Row],[Categoria]],Desc_Categoria)</f>
        <v>3</v>
      </c>
      <c r="H79" s="42">
        <f>VLOOKUP(TB_Vendas[[#This Row],[Qtd]],Desc_Tabela,TB_Vendas[[#This Row],[Índice]])</f>
        <v>0.25</v>
      </c>
      <c r="I79" s="42" cm="1">
        <f t="array" ref="I79">INDEX(Desc_TabelaTotal,MATCH(TB_Vendas[[#This Row],[Qtd]],Desc_Qtde,1),MATCH(_xlfn.XLOOKUP(C79,TB_Produtos[[#All],[Código]],TB_Produtos[[#All],[Categoria]]),Desc_Categoria,0))</f>
        <v>0.25</v>
      </c>
      <c r="J79" s="42">
        <f>_xlfn.XLOOKUP(TB_Vendas[[#This Row],[Vendedor]],Vendedores!$A$4:$A$9,Vendedores!$D$5:$D$10)</f>
        <v>0.1</v>
      </c>
      <c r="K79" s="42">
        <f>IF(TB_Vendas[[#This Row],[Desc_Direto]]&gt;TB_Vendas[[#This Row],[Desc_Vendedor]],TB_Vendas[[#This Row],[Desc_Vendedor]],TB_Vendas[[#This Row],[Desc_Direto]])</f>
        <v>0.1</v>
      </c>
      <c r="L79" s="2">
        <f>TB_Vendas[[#This Row],[Preço Unitário]]*TB_Vendas[[#This Row],[Qtd]]</f>
        <v>560</v>
      </c>
      <c r="M79" s="1" t="s">
        <v>116</v>
      </c>
    </row>
    <row r="80" spans="1:13">
      <c r="A80" s="1">
        <f>MONTH(TB_Vendas[[#This Row],[Data]])</f>
        <v>8</v>
      </c>
      <c r="B80" s="3">
        <v>45147</v>
      </c>
      <c r="C80" s="4" t="s">
        <v>41</v>
      </c>
      <c r="D80" s="4" t="str" cm="1">
        <f t="array" ref="D80">_xlfn.XLOOKUP(TB_Vendas[[#This Row],[Código]],TB_Produtos[[#All],[Código]],TB_Produtos[[#All],[Categoria]])</f>
        <v>Vestuário</v>
      </c>
      <c r="E80" s="1">
        <v>5</v>
      </c>
      <c r="F80" s="8">
        <f>VLOOKUP(TB_Vendas[[#This Row],[Código]],TB_Produtos[#All],6,FALSE)</f>
        <v>46.9</v>
      </c>
      <c r="G80" s="1">
        <f>_xlfn.XMATCH(TB_Vendas[[#This Row],[Categoria]],Desc_Categoria)</f>
        <v>3</v>
      </c>
      <c r="H80" s="42">
        <f>VLOOKUP(TB_Vendas[[#This Row],[Qtd]],Desc_Tabela,TB_Vendas[[#This Row],[Índice]])</f>
        <v>0.25</v>
      </c>
      <c r="I80" s="42" cm="1">
        <f t="array" ref="I80">INDEX(Desc_TabelaTotal,MATCH(TB_Vendas[[#This Row],[Qtd]],Desc_Qtde,1),MATCH(_xlfn.XLOOKUP(C80,TB_Produtos[[#All],[Código]],TB_Produtos[[#All],[Categoria]]),Desc_Categoria,0))</f>
        <v>0.25</v>
      </c>
      <c r="J80" s="42">
        <f>_xlfn.XLOOKUP(TB_Vendas[[#This Row],[Vendedor]],Vendedores!$A$4:$A$9,Vendedores!$D$5:$D$10)</f>
        <v>0.2</v>
      </c>
      <c r="K80" s="42">
        <f>IF(TB_Vendas[[#This Row],[Desc_Direto]]&gt;TB_Vendas[[#This Row],[Desc_Vendedor]],TB_Vendas[[#This Row],[Desc_Vendedor]],TB_Vendas[[#This Row],[Desc_Direto]])</f>
        <v>0.2</v>
      </c>
      <c r="L80" s="2">
        <f>TB_Vendas[[#This Row],[Preço Unitário]]*TB_Vendas[[#This Row],[Qtd]]</f>
        <v>234.5</v>
      </c>
      <c r="M80" s="1" t="s">
        <v>117</v>
      </c>
    </row>
    <row r="81" spans="1:13">
      <c r="A81" s="1">
        <f>MONTH(TB_Vendas[[#This Row],[Data]])</f>
        <v>8</v>
      </c>
      <c r="B81" s="3">
        <v>45148</v>
      </c>
      <c r="C81" s="4" t="s">
        <v>94</v>
      </c>
      <c r="D81" s="4" t="str" cm="1">
        <f t="array" ref="D81">_xlfn.XLOOKUP(TB_Vendas[[#This Row],[Código]],TB_Produtos[[#All],[Código]],TB_Produtos[[#All],[Categoria]])</f>
        <v>Vestuário</v>
      </c>
      <c r="E81" s="1">
        <v>10</v>
      </c>
      <c r="F81" s="8">
        <f>VLOOKUP(TB_Vendas[[#This Row],[Código]],TB_Produtos[#All],6,FALSE)</f>
        <v>289.89999999999998</v>
      </c>
      <c r="G81" s="1">
        <f>_xlfn.XMATCH(TB_Vendas[[#This Row],[Categoria]],Desc_Categoria)</f>
        <v>3</v>
      </c>
      <c r="H81" s="42">
        <f>VLOOKUP(TB_Vendas[[#This Row],[Qtd]],Desc_Tabela,TB_Vendas[[#This Row],[Índice]])</f>
        <v>0.3</v>
      </c>
      <c r="I81" s="42" cm="1">
        <f t="array" ref="I81">INDEX(Desc_TabelaTotal,MATCH(TB_Vendas[[#This Row],[Qtd]],Desc_Qtde,1),MATCH(_xlfn.XLOOKUP(C81,TB_Produtos[[#All],[Código]],TB_Produtos[[#All],[Categoria]]),Desc_Categoria,0))</f>
        <v>0.3</v>
      </c>
      <c r="J81" s="42">
        <f>_xlfn.XLOOKUP(TB_Vendas[[#This Row],[Vendedor]],Vendedores!$A$4:$A$9,Vendedores!$D$5:$D$10)</f>
        <v>0.1</v>
      </c>
      <c r="K81" s="42">
        <f>IF(TB_Vendas[[#This Row],[Desc_Direto]]&gt;TB_Vendas[[#This Row],[Desc_Vendedor]],TB_Vendas[[#This Row],[Desc_Vendedor]],TB_Vendas[[#This Row],[Desc_Direto]])</f>
        <v>0.1</v>
      </c>
      <c r="L81" s="2">
        <f>TB_Vendas[[#This Row],[Preço Unitário]]*TB_Vendas[[#This Row],[Qtd]]</f>
        <v>2899</v>
      </c>
      <c r="M81" s="1" t="s">
        <v>116</v>
      </c>
    </row>
    <row r="82" spans="1:13">
      <c r="A82" s="1">
        <f>MONTH(TB_Vendas[[#This Row],[Data]])</f>
        <v>8</v>
      </c>
      <c r="B82" s="3">
        <v>45149</v>
      </c>
      <c r="C82" s="4" t="s">
        <v>45</v>
      </c>
      <c r="D82" s="4" t="str" cm="1">
        <f t="array" ref="D82">_xlfn.XLOOKUP(TB_Vendas[[#This Row],[Código]],TB_Produtos[[#All],[Código]],TB_Produtos[[#All],[Categoria]])</f>
        <v>Vestuário</v>
      </c>
      <c r="E82" s="1">
        <v>1</v>
      </c>
      <c r="F82" s="8">
        <f>VLOOKUP(TB_Vendas[[#This Row],[Código]],TB_Produtos[#All],6,FALSE)</f>
        <v>42.5</v>
      </c>
      <c r="G82" s="1">
        <f>_xlfn.XMATCH(TB_Vendas[[#This Row],[Categoria]],Desc_Categoria)</f>
        <v>3</v>
      </c>
      <c r="H82" s="42">
        <f>VLOOKUP(TB_Vendas[[#This Row],[Qtd]],Desc_Tabela,TB_Vendas[[#This Row],[Índice]])</f>
        <v>0.1</v>
      </c>
      <c r="I82" s="42" cm="1">
        <f t="array" ref="I82">INDEX(Desc_TabelaTotal,MATCH(TB_Vendas[[#This Row],[Qtd]],Desc_Qtde,1),MATCH(_xlfn.XLOOKUP(C82,TB_Produtos[[#All],[Código]],TB_Produtos[[#All],[Categoria]]),Desc_Categoria,0))</f>
        <v>0.1</v>
      </c>
      <c r="J82" s="42">
        <f>_xlfn.XLOOKUP(TB_Vendas[[#This Row],[Vendedor]],Vendedores!$A$4:$A$9,Vendedores!$D$5:$D$10)</f>
        <v>0.2</v>
      </c>
      <c r="K82" s="42">
        <f>IF(TB_Vendas[[#This Row],[Desc_Direto]]&gt;TB_Vendas[[#This Row],[Desc_Vendedor]],TB_Vendas[[#This Row],[Desc_Vendedor]],TB_Vendas[[#This Row],[Desc_Direto]])</f>
        <v>0.1</v>
      </c>
      <c r="L82" s="2">
        <f>TB_Vendas[[#This Row],[Preço Unitário]]*TB_Vendas[[#This Row],[Qtd]]</f>
        <v>42.5</v>
      </c>
      <c r="M82" s="1" t="s">
        <v>117</v>
      </c>
    </row>
    <row r="83" spans="1:13">
      <c r="A83" s="1">
        <f>MONTH(TB_Vendas[[#This Row],[Data]])</f>
        <v>8</v>
      </c>
      <c r="B83" s="3">
        <v>45150</v>
      </c>
      <c r="C83" s="4" t="s">
        <v>104</v>
      </c>
      <c r="D83" s="4" t="str" cm="1">
        <f t="array" ref="D83">_xlfn.XLOOKUP(TB_Vendas[[#This Row],[Código]],TB_Produtos[[#All],[Código]],TB_Produtos[[#All],[Categoria]])</f>
        <v>Calçado</v>
      </c>
      <c r="E83" s="1">
        <v>2</v>
      </c>
      <c r="F83" s="8">
        <f>VLOOKUP(TB_Vendas[[#This Row],[Código]],TB_Produtos[#All],6,FALSE)</f>
        <v>89.9</v>
      </c>
      <c r="G83" s="1">
        <f>_xlfn.XMATCH(TB_Vendas[[#This Row],[Categoria]],Desc_Categoria)</f>
        <v>4</v>
      </c>
      <c r="H83" s="42">
        <f>VLOOKUP(TB_Vendas[[#This Row],[Qtd]],Desc_Tabela,TB_Vendas[[#This Row],[Índice]])</f>
        <v>0.1</v>
      </c>
      <c r="I83" s="42" cm="1">
        <f t="array" ref="I83">INDEX(Desc_TabelaTotal,MATCH(TB_Vendas[[#This Row],[Qtd]],Desc_Qtde,1),MATCH(_xlfn.XLOOKUP(C83,TB_Produtos[[#All],[Código]],TB_Produtos[[#All],[Categoria]]),Desc_Categoria,0))</f>
        <v>0.1</v>
      </c>
      <c r="J83" s="42">
        <f>_xlfn.XLOOKUP(TB_Vendas[[#This Row],[Vendedor]],Vendedores!$A$4:$A$9,Vendedores!$D$5:$D$10)</f>
        <v>0.1</v>
      </c>
      <c r="K83" s="42">
        <f>IF(TB_Vendas[[#This Row],[Desc_Direto]]&gt;TB_Vendas[[#This Row],[Desc_Vendedor]],TB_Vendas[[#This Row],[Desc_Vendedor]],TB_Vendas[[#This Row],[Desc_Direto]])</f>
        <v>0.1</v>
      </c>
      <c r="L83" s="2">
        <f>TB_Vendas[[#This Row],[Preço Unitário]]*TB_Vendas[[#This Row],[Qtd]]</f>
        <v>179.8</v>
      </c>
      <c r="M83" s="1" t="s">
        <v>116</v>
      </c>
    </row>
    <row r="84" spans="1:13">
      <c r="A84" s="1">
        <f>MONTH(TB_Vendas[[#This Row],[Data]])</f>
        <v>8</v>
      </c>
      <c r="B84" s="3">
        <v>45151</v>
      </c>
      <c r="C84" s="4" t="s">
        <v>59</v>
      </c>
      <c r="D84" s="4" t="str" cm="1">
        <f t="array" ref="D84">_xlfn.XLOOKUP(TB_Vendas[[#This Row],[Código]],TB_Produtos[[#All],[Código]],TB_Produtos[[#All],[Categoria]])</f>
        <v>Calçado</v>
      </c>
      <c r="E84" s="1">
        <v>3</v>
      </c>
      <c r="F84" s="8">
        <f>VLOOKUP(TB_Vendas[[#This Row],[Código]],TB_Produtos[#All],6,FALSE)</f>
        <v>255</v>
      </c>
      <c r="G84" s="1">
        <f>_xlfn.XMATCH(TB_Vendas[[#This Row],[Categoria]],Desc_Categoria)</f>
        <v>4</v>
      </c>
      <c r="H84" s="42">
        <f>VLOOKUP(TB_Vendas[[#This Row],[Qtd]],Desc_Tabela,TB_Vendas[[#This Row],[Índice]])</f>
        <v>0.15</v>
      </c>
      <c r="I84" s="42" cm="1">
        <f t="array" ref="I84">INDEX(Desc_TabelaTotal,MATCH(TB_Vendas[[#This Row],[Qtd]],Desc_Qtde,1),MATCH(_xlfn.XLOOKUP(C84,TB_Produtos[[#All],[Código]],TB_Produtos[[#All],[Categoria]]),Desc_Categoria,0))</f>
        <v>0.15</v>
      </c>
      <c r="J84" s="42">
        <f>_xlfn.XLOOKUP(TB_Vendas[[#This Row],[Vendedor]],Vendedores!$A$4:$A$9,Vendedores!$D$5:$D$10)</f>
        <v>0.25</v>
      </c>
      <c r="K84" s="42">
        <f>IF(TB_Vendas[[#This Row],[Desc_Direto]]&gt;TB_Vendas[[#This Row],[Desc_Vendedor]],TB_Vendas[[#This Row],[Desc_Vendedor]],TB_Vendas[[#This Row],[Desc_Direto]])</f>
        <v>0.15</v>
      </c>
      <c r="L84" s="2">
        <f>TB_Vendas[[#This Row],[Preço Unitário]]*TB_Vendas[[#This Row],[Qtd]]</f>
        <v>765</v>
      </c>
      <c r="M84" s="1" t="s">
        <v>115</v>
      </c>
    </row>
    <row r="85" spans="1:13">
      <c r="A85" s="1">
        <f>MONTH(TB_Vendas[[#This Row],[Data]])</f>
        <v>8</v>
      </c>
      <c r="B85" s="3">
        <v>45152</v>
      </c>
      <c r="C85" s="4" t="s">
        <v>45</v>
      </c>
      <c r="D85" s="4" t="str" cm="1">
        <f t="array" ref="D85">_xlfn.XLOOKUP(TB_Vendas[[#This Row],[Código]],TB_Produtos[[#All],[Código]],TB_Produtos[[#All],[Categoria]])</f>
        <v>Vestuário</v>
      </c>
      <c r="E85" s="1">
        <v>6</v>
      </c>
      <c r="F85" s="8">
        <f>VLOOKUP(TB_Vendas[[#This Row],[Código]],TB_Produtos[#All],6,FALSE)</f>
        <v>42.5</v>
      </c>
      <c r="G85" s="1">
        <f>_xlfn.XMATCH(TB_Vendas[[#This Row],[Categoria]],Desc_Categoria)</f>
        <v>3</v>
      </c>
      <c r="H85" s="42">
        <f>VLOOKUP(TB_Vendas[[#This Row],[Qtd]],Desc_Tabela,TB_Vendas[[#This Row],[Índice]])</f>
        <v>0.25</v>
      </c>
      <c r="I85" s="42" cm="1">
        <f t="array" ref="I85">INDEX(Desc_TabelaTotal,MATCH(TB_Vendas[[#This Row],[Qtd]],Desc_Qtde,1),MATCH(_xlfn.XLOOKUP(C85,TB_Produtos[[#All],[Código]],TB_Produtos[[#All],[Categoria]]),Desc_Categoria,0))</f>
        <v>0.25</v>
      </c>
      <c r="J85" s="42">
        <f>_xlfn.XLOOKUP(TB_Vendas[[#This Row],[Vendedor]],Vendedores!$A$4:$A$9,Vendedores!$D$5:$D$10)</f>
        <v>0.15</v>
      </c>
      <c r="K85" s="42">
        <f>IF(TB_Vendas[[#This Row],[Desc_Direto]]&gt;TB_Vendas[[#This Row],[Desc_Vendedor]],TB_Vendas[[#This Row],[Desc_Vendedor]],TB_Vendas[[#This Row],[Desc_Direto]])</f>
        <v>0.15</v>
      </c>
      <c r="L85" s="2">
        <f>TB_Vendas[[#This Row],[Preço Unitário]]*TB_Vendas[[#This Row],[Qtd]]</f>
        <v>255</v>
      </c>
      <c r="M85" s="1" t="s">
        <v>118</v>
      </c>
    </row>
    <row r="86" spans="1:13">
      <c r="A86" s="1">
        <f>MONTH(TB_Vendas[[#This Row],[Data]])</f>
        <v>8</v>
      </c>
      <c r="B86" s="3">
        <v>45153</v>
      </c>
      <c r="C86" s="4" t="s">
        <v>44</v>
      </c>
      <c r="D86" s="4" t="str" cm="1">
        <f t="array" ref="D86">_xlfn.XLOOKUP(TB_Vendas[[#This Row],[Código]],TB_Produtos[[#All],[Código]],TB_Produtos[[#All],[Categoria]])</f>
        <v>Vestuário</v>
      </c>
      <c r="E86" s="1">
        <v>8</v>
      </c>
      <c r="F86" s="8">
        <f>VLOOKUP(TB_Vendas[[#This Row],[Código]],TB_Produtos[#All],6,FALSE)</f>
        <v>39.9</v>
      </c>
      <c r="G86" s="1">
        <f>_xlfn.XMATCH(TB_Vendas[[#This Row],[Categoria]],Desc_Categoria)</f>
        <v>3</v>
      </c>
      <c r="H86" s="42">
        <f>VLOOKUP(TB_Vendas[[#This Row],[Qtd]],Desc_Tabela,TB_Vendas[[#This Row],[Índice]])</f>
        <v>0.25</v>
      </c>
      <c r="I86" s="42" cm="1">
        <f t="array" ref="I86">INDEX(Desc_TabelaTotal,MATCH(TB_Vendas[[#This Row],[Qtd]],Desc_Qtde,1),MATCH(_xlfn.XLOOKUP(C86,TB_Produtos[[#All],[Código]],TB_Produtos[[#All],[Categoria]]),Desc_Categoria,0))</f>
        <v>0.25</v>
      </c>
      <c r="J86" s="42">
        <f>_xlfn.XLOOKUP(TB_Vendas[[#This Row],[Vendedor]],Vendedores!$A$4:$A$9,Vendedores!$D$5:$D$10)</f>
        <v>0.1</v>
      </c>
      <c r="K86" s="42">
        <f>IF(TB_Vendas[[#This Row],[Desc_Direto]]&gt;TB_Vendas[[#This Row],[Desc_Vendedor]],TB_Vendas[[#This Row],[Desc_Vendedor]],TB_Vendas[[#This Row],[Desc_Direto]])</f>
        <v>0.1</v>
      </c>
      <c r="L86" s="2">
        <f>TB_Vendas[[#This Row],[Preço Unitário]]*TB_Vendas[[#This Row],[Qtd]]</f>
        <v>319.2</v>
      </c>
      <c r="M86" s="1" t="s">
        <v>116</v>
      </c>
    </row>
  </sheetData>
  <phoneticPr fontId="11" type="noConversion"/>
  <conditionalFormatting sqref="E4:K4">
    <cfRule type="cellIs" dxfId="24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 codeName="Planilha7">
    <tabColor rgb="FFFF0000"/>
  </sheetPr>
  <dimension ref="B1:J17"/>
  <sheetViews>
    <sheetView workbookViewId="0">
      <selection activeCell="A15" sqref="A15:G18"/>
    </sheetView>
  </sheetViews>
  <sheetFormatPr defaultRowHeight="14.4"/>
  <cols>
    <col min="1" max="1" width="8" customWidth="1"/>
    <col min="2" max="2" width="30.88671875" customWidth="1"/>
    <col min="3" max="9" width="17.44140625" customWidth="1"/>
  </cols>
  <sheetData>
    <row r="1" spans="2:10" s="16" customFormat="1" ht="40.200000000000003" customHeight="1">
      <c r="B1" s="35" t="s">
        <v>124</v>
      </c>
      <c r="C1" s="23"/>
      <c r="D1" s="23"/>
      <c r="E1" s="23"/>
      <c r="F1" s="23"/>
      <c r="G1" s="23"/>
      <c r="H1" s="23"/>
      <c r="I1" s="21"/>
      <c r="J1" s="21"/>
    </row>
    <row r="2" spans="2:10" s="17" customFormat="1" ht="4.5" customHeight="1">
      <c r="B2" s="20"/>
      <c r="C2" s="20"/>
      <c r="D2" s="20"/>
      <c r="E2" s="20"/>
      <c r="F2" s="20"/>
      <c r="G2" s="20"/>
    </row>
    <row r="3" spans="2:10" ht="4.5" customHeight="1" thickBot="1">
      <c r="B3" s="18"/>
      <c r="C3" s="18"/>
      <c r="D3" s="18"/>
      <c r="E3" s="18"/>
      <c r="F3" s="18"/>
      <c r="G3" s="18"/>
    </row>
    <row r="4" spans="2:10" ht="22.2" thickBot="1">
      <c r="B4" s="11" t="s">
        <v>30</v>
      </c>
      <c r="C4" s="14">
        <v>1</v>
      </c>
      <c r="D4" s="15">
        <v>2</v>
      </c>
      <c r="E4" s="14">
        <v>3</v>
      </c>
      <c r="F4" s="15">
        <v>4</v>
      </c>
      <c r="G4" s="14">
        <v>5</v>
      </c>
      <c r="H4" s="15">
        <v>6</v>
      </c>
      <c r="I4" s="14">
        <v>7</v>
      </c>
    </row>
    <row r="5" spans="2:10" s="28" customFormat="1" ht="22.2" thickBot="1">
      <c r="B5" s="26" t="s">
        <v>125</v>
      </c>
      <c r="C5" s="27" t="s">
        <v>126</v>
      </c>
      <c r="D5" s="27" t="s">
        <v>127</v>
      </c>
      <c r="E5" s="27" t="s">
        <v>128</v>
      </c>
      <c r="F5" s="27" t="s">
        <v>129</v>
      </c>
      <c r="G5" s="27" t="s">
        <v>130</v>
      </c>
      <c r="H5" s="27" t="s">
        <v>131</v>
      </c>
      <c r="I5" s="27" t="s">
        <v>132</v>
      </c>
    </row>
    <row r="7" spans="2:10" ht="15" thickBot="1"/>
    <row r="8" spans="2:10" ht="43.8" thickBot="1">
      <c r="B8" s="32" t="s">
        <v>140</v>
      </c>
      <c r="C8" s="33" t="s">
        <v>13</v>
      </c>
      <c r="D8" s="33" t="s">
        <v>12</v>
      </c>
      <c r="E8" s="33" t="s">
        <v>14</v>
      </c>
      <c r="G8" s="32" t="s">
        <v>10</v>
      </c>
      <c r="H8" s="32" t="s">
        <v>141</v>
      </c>
    </row>
    <row r="9" spans="2:10" ht="17.399999999999999" thickBot="1">
      <c r="B9" s="27">
        <v>1</v>
      </c>
      <c r="C9" s="31">
        <v>0</v>
      </c>
      <c r="D9" s="31">
        <v>0.1</v>
      </c>
      <c r="E9" s="34">
        <v>0</v>
      </c>
      <c r="G9" s="27" t="s">
        <v>13</v>
      </c>
      <c r="H9" s="27">
        <v>5</v>
      </c>
    </row>
    <row r="10" spans="2:10" ht="17.399999999999999" thickBot="1">
      <c r="B10" s="27">
        <v>2</v>
      </c>
      <c r="C10" s="31">
        <v>0.05</v>
      </c>
      <c r="D10" s="31">
        <v>0.15</v>
      </c>
      <c r="E10" s="34">
        <v>0.1</v>
      </c>
      <c r="G10" s="27" t="s">
        <v>12</v>
      </c>
      <c r="H10" s="27">
        <v>10</v>
      </c>
    </row>
    <row r="11" spans="2:10" ht="17.399999999999999" thickBot="1">
      <c r="B11" s="27">
        <v>3</v>
      </c>
      <c r="C11" s="31">
        <v>0.15</v>
      </c>
      <c r="D11" s="31">
        <v>0.2</v>
      </c>
      <c r="E11" s="34">
        <v>0.15</v>
      </c>
      <c r="G11" s="27" t="s">
        <v>14</v>
      </c>
      <c r="H11" s="27">
        <v>15</v>
      </c>
    </row>
    <row r="12" spans="2:10" ht="17.399999999999999" thickBot="1">
      <c r="B12" s="27">
        <v>5</v>
      </c>
      <c r="C12" s="31">
        <v>0.25</v>
      </c>
      <c r="D12" s="31">
        <v>0.25</v>
      </c>
      <c r="E12" s="34">
        <v>0.25</v>
      </c>
    </row>
    <row r="13" spans="2:10" ht="17.399999999999999" thickBot="1">
      <c r="B13" s="27">
        <v>10</v>
      </c>
      <c r="C13" s="31">
        <v>0.3</v>
      </c>
      <c r="D13" s="31">
        <v>0.3</v>
      </c>
      <c r="E13" s="34">
        <v>0.3</v>
      </c>
      <c r="G13" s="41"/>
    </row>
    <row r="15" spans="2:10">
      <c r="B15" s="43"/>
    </row>
    <row r="16" spans="2:10">
      <c r="B16" s="43"/>
      <c r="C16" s="41"/>
    </row>
    <row r="17" spans="2:5">
      <c r="B17" s="43"/>
      <c r="C17" s="41"/>
      <c r="E17" s="41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3F4E-ADE5-4341-9D93-4C71AA356E0F}">
  <sheetPr>
    <tabColor theme="9"/>
  </sheetPr>
  <dimension ref="A1:K253"/>
  <sheetViews>
    <sheetView workbookViewId="0">
      <selection activeCell="B3" sqref="B3"/>
    </sheetView>
  </sheetViews>
  <sheetFormatPr defaultRowHeight="14.4"/>
  <cols>
    <col min="1" max="1" width="6.77734375" bestFit="1" customWidth="1"/>
    <col min="2" max="2" width="10.109375" bestFit="1" customWidth="1"/>
    <col min="3" max="3" width="10.5546875" bestFit="1" customWidth="1"/>
    <col min="4" max="4" width="9.109375" bestFit="1" customWidth="1"/>
    <col min="5" max="5" width="11.21875" bestFit="1" customWidth="1"/>
    <col min="6" max="6" width="6.33203125" bestFit="1" customWidth="1"/>
    <col min="7" max="7" width="15.44140625" bestFit="1" customWidth="1"/>
    <col min="8" max="8" width="15.6640625" bestFit="1" customWidth="1"/>
    <col min="9" max="9" width="14.109375" bestFit="1" customWidth="1"/>
    <col min="10" max="10" width="11.5546875" bestFit="1" customWidth="1"/>
  </cols>
  <sheetData>
    <row r="1" spans="1:11">
      <c r="A1" t="s">
        <v>153</v>
      </c>
      <c r="B1" t="s">
        <v>165</v>
      </c>
      <c r="C1" t="s">
        <v>74</v>
      </c>
      <c r="D1" t="s">
        <v>30</v>
      </c>
      <c r="E1" t="s">
        <v>10</v>
      </c>
      <c r="F1" t="s">
        <v>15</v>
      </c>
      <c r="G1" t="s">
        <v>11</v>
      </c>
      <c r="H1" t="s">
        <v>154</v>
      </c>
      <c r="I1" t="s">
        <v>16</v>
      </c>
      <c r="J1" t="s">
        <v>72</v>
      </c>
    </row>
    <row r="2" spans="1:11">
      <c r="A2" t="s">
        <v>79</v>
      </c>
      <c r="B2">
        <f>MONTH(Vendas[[#This Row],[Data]])</f>
        <v>1</v>
      </c>
      <c r="C2" s="50">
        <v>44566</v>
      </c>
      <c r="D2" t="s">
        <v>61</v>
      </c>
      <c r="E2" t="s">
        <v>14</v>
      </c>
      <c r="F2">
        <v>2</v>
      </c>
      <c r="G2" s="2">
        <v>245</v>
      </c>
      <c r="H2" s="2">
        <v>0.1</v>
      </c>
      <c r="I2" s="2">
        <v>490</v>
      </c>
      <c r="J2" t="s">
        <v>118</v>
      </c>
      <c r="K2" s="2"/>
    </row>
    <row r="3" spans="1:11">
      <c r="A3" t="s">
        <v>79</v>
      </c>
      <c r="B3">
        <f>MONTH(Vendas[[#This Row],[Data]])</f>
        <v>1</v>
      </c>
      <c r="C3" s="50">
        <v>44567</v>
      </c>
      <c r="D3" t="s">
        <v>59</v>
      </c>
      <c r="E3" t="s">
        <v>14</v>
      </c>
      <c r="F3">
        <v>10</v>
      </c>
      <c r="G3" s="2">
        <v>255</v>
      </c>
      <c r="H3" s="2">
        <v>0.15</v>
      </c>
      <c r="I3" s="2">
        <v>2550</v>
      </c>
      <c r="J3" t="s">
        <v>119</v>
      </c>
    </row>
    <row r="4" spans="1:11">
      <c r="A4" t="s">
        <v>79</v>
      </c>
      <c r="B4">
        <f>MONTH(Vendas[[#This Row],[Data]])</f>
        <v>1</v>
      </c>
      <c r="C4" s="50">
        <v>44568</v>
      </c>
      <c r="D4" t="s">
        <v>95</v>
      </c>
      <c r="E4" t="s">
        <v>12</v>
      </c>
      <c r="F4">
        <v>11</v>
      </c>
      <c r="G4" s="2">
        <v>289.89999999999998</v>
      </c>
      <c r="H4" s="2">
        <v>0.1</v>
      </c>
      <c r="I4" s="2">
        <v>3188.9</v>
      </c>
      <c r="J4" t="s">
        <v>117</v>
      </c>
    </row>
    <row r="5" spans="1:11">
      <c r="A5" t="s">
        <v>79</v>
      </c>
      <c r="B5">
        <f>MONTH(Vendas[[#This Row],[Data]])</f>
        <v>1</v>
      </c>
      <c r="C5" s="50">
        <v>44573</v>
      </c>
      <c r="D5" t="s">
        <v>108</v>
      </c>
      <c r="E5" t="s">
        <v>12</v>
      </c>
      <c r="F5">
        <v>11</v>
      </c>
      <c r="G5" s="2">
        <v>180</v>
      </c>
      <c r="H5" s="2">
        <v>0.2</v>
      </c>
      <c r="I5" s="2">
        <v>1980</v>
      </c>
      <c r="J5" t="s">
        <v>115</v>
      </c>
    </row>
    <row r="6" spans="1:11">
      <c r="A6" t="s">
        <v>79</v>
      </c>
      <c r="B6">
        <f>MONTH(Vendas[[#This Row],[Data]])</f>
        <v>1</v>
      </c>
      <c r="C6" s="50">
        <v>44574</v>
      </c>
      <c r="D6" t="s">
        <v>112</v>
      </c>
      <c r="E6" t="s">
        <v>12</v>
      </c>
      <c r="F6">
        <v>10</v>
      </c>
      <c r="G6" s="2">
        <v>180</v>
      </c>
      <c r="H6" s="2">
        <v>0.1</v>
      </c>
      <c r="I6" s="2">
        <v>1800</v>
      </c>
      <c r="J6" t="s">
        <v>117</v>
      </c>
    </row>
    <row r="7" spans="1:11">
      <c r="A7" t="s">
        <v>79</v>
      </c>
      <c r="B7">
        <f>MONTH(Vendas[[#This Row],[Data]])</f>
        <v>1</v>
      </c>
      <c r="C7" s="50">
        <v>44578</v>
      </c>
      <c r="D7" t="s">
        <v>33</v>
      </c>
      <c r="E7" t="s">
        <v>12</v>
      </c>
      <c r="F7">
        <v>8</v>
      </c>
      <c r="G7" s="2">
        <v>70.900000000000006</v>
      </c>
      <c r="H7" s="2">
        <v>0.15</v>
      </c>
      <c r="I7" s="2">
        <v>567.20000000000005</v>
      </c>
      <c r="J7" t="s">
        <v>116</v>
      </c>
    </row>
    <row r="8" spans="1:11">
      <c r="A8" t="s">
        <v>79</v>
      </c>
      <c r="B8">
        <f>MONTH(Vendas[[#This Row],[Data]])</f>
        <v>1</v>
      </c>
      <c r="C8" s="50">
        <v>44584</v>
      </c>
      <c r="D8" t="s">
        <v>59</v>
      </c>
      <c r="E8" t="s">
        <v>14</v>
      </c>
      <c r="F8">
        <v>2</v>
      </c>
      <c r="G8" s="2">
        <v>255</v>
      </c>
      <c r="H8" s="2">
        <v>0.1</v>
      </c>
      <c r="I8" s="2">
        <v>510</v>
      </c>
      <c r="J8" t="s">
        <v>118</v>
      </c>
    </row>
    <row r="9" spans="1:11">
      <c r="A9" t="s">
        <v>79</v>
      </c>
      <c r="B9">
        <f>MONTH(Vendas[[#This Row],[Data]])</f>
        <v>1</v>
      </c>
      <c r="C9" s="50">
        <v>44587</v>
      </c>
      <c r="D9" t="s">
        <v>90</v>
      </c>
      <c r="E9" t="s">
        <v>12</v>
      </c>
      <c r="F9">
        <v>2</v>
      </c>
      <c r="G9" s="2">
        <v>72.5</v>
      </c>
      <c r="H9" s="2">
        <v>0.15</v>
      </c>
      <c r="I9" s="2">
        <v>145</v>
      </c>
      <c r="J9" t="s">
        <v>119</v>
      </c>
    </row>
    <row r="10" spans="1:11">
      <c r="A10" t="s">
        <v>79</v>
      </c>
      <c r="B10">
        <f>MONTH(Vendas[[#This Row],[Data]])</f>
        <v>1</v>
      </c>
      <c r="C10" s="50">
        <v>44589</v>
      </c>
      <c r="D10" t="s">
        <v>92</v>
      </c>
      <c r="E10" t="s">
        <v>12</v>
      </c>
      <c r="F10">
        <v>12</v>
      </c>
      <c r="G10" s="2">
        <v>289.89999999999998</v>
      </c>
      <c r="H10" s="2">
        <v>0.2</v>
      </c>
      <c r="I10" s="2">
        <v>3478.8</v>
      </c>
      <c r="J10" t="s">
        <v>118</v>
      </c>
    </row>
    <row r="11" spans="1:11">
      <c r="A11" t="s">
        <v>79</v>
      </c>
      <c r="B11">
        <f>MONTH(Vendas[[#This Row],[Data]])</f>
        <v>1</v>
      </c>
      <c r="C11" s="50">
        <v>44590</v>
      </c>
      <c r="D11" t="s">
        <v>92</v>
      </c>
      <c r="E11" t="s">
        <v>12</v>
      </c>
      <c r="F11">
        <v>1</v>
      </c>
      <c r="G11" s="2">
        <v>289.89999999999998</v>
      </c>
      <c r="H11" s="2">
        <v>0.1</v>
      </c>
      <c r="I11" s="2">
        <v>289.89999999999998</v>
      </c>
      <c r="J11" t="s">
        <v>119</v>
      </c>
    </row>
    <row r="12" spans="1:11">
      <c r="A12" t="s">
        <v>79</v>
      </c>
      <c r="B12">
        <f>MONTH(Vendas[[#This Row],[Data]])</f>
        <v>1</v>
      </c>
      <c r="C12" s="50">
        <v>44591</v>
      </c>
      <c r="D12" t="s">
        <v>111</v>
      </c>
      <c r="E12" t="s">
        <v>12</v>
      </c>
      <c r="F12">
        <v>11</v>
      </c>
      <c r="G12" s="2">
        <v>180</v>
      </c>
      <c r="H12" s="2">
        <v>0.2</v>
      </c>
      <c r="I12" s="2">
        <v>1980</v>
      </c>
      <c r="J12" t="s">
        <v>115</v>
      </c>
    </row>
    <row r="13" spans="1:11">
      <c r="A13" t="s">
        <v>80</v>
      </c>
      <c r="B13">
        <f>MONTH(Vendas[[#This Row],[Data]])</f>
        <v>2</v>
      </c>
      <c r="C13" s="50">
        <v>44595</v>
      </c>
      <c r="D13" t="s">
        <v>33</v>
      </c>
      <c r="E13" t="s">
        <v>12</v>
      </c>
      <c r="F13">
        <v>2</v>
      </c>
      <c r="G13" s="2">
        <v>70.900000000000006</v>
      </c>
      <c r="H13" s="2">
        <v>0.15</v>
      </c>
      <c r="I13" s="2">
        <v>141.80000000000001</v>
      </c>
      <c r="J13" t="s">
        <v>115</v>
      </c>
    </row>
    <row r="14" spans="1:11">
      <c r="A14" t="s">
        <v>80</v>
      </c>
      <c r="B14">
        <f>MONTH(Vendas[[#This Row],[Data]])</f>
        <v>2</v>
      </c>
      <c r="C14" s="50">
        <v>44597</v>
      </c>
      <c r="D14" t="s">
        <v>57</v>
      </c>
      <c r="E14" t="s">
        <v>13</v>
      </c>
      <c r="F14">
        <v>7</v>
      </c>
      <c r="G14" s="2">
        <v>120</v>
      </c>
      <c r="H14" s="2">
        <v>0.2</v>
      </c>
      <c r="I14" s="2">
        <v>840</v>
      </c>
      <c r="J14" t="s">
        <v>118</v>
      </c>
    </row>
    <row r="15" spans="1:11">
      <c r="A15" t="s">
        <v>80</v>
      </c>
      <c r="B15">
        <f>MONTH(Vendas[[#This Row],[Data]])</f>
        <v>2</v>
      </c>
      <c r="C15" s="50">
        <v>44610</v>
      </c>
      <c r="D15" t="s">
        <v>53</v>
      </c>
      <c r="E15" t="s">
        <v>12</v>
      </c>
      <c r="F15">
        <v>4</v>
      </c>
      <c r="G15" s="2">
        <v>249.9</v>
      </c>
      <c r="H15" s="2">
        <v>0.2</v>
      </c>
      <c r="I15" s="2">
        <v>999.6</v>
      </c>
      <c r="J15" t="s">
        <v>115</v>
      </c>
    </row>
    <row r="16" spans="1:11">
      <c r="A16" t="s">
        <v>80</v>
      </c>
      <c r="B16">
        <f>MONTH(Vendas[[#This Row],[Data]])</f>
        <v>2</v>
      </c>
      <c r="C16" s="50">
        <v>44613</v>
      </c>
      <c r="D16" t="s">
        <v>44</v>
      </c>
      <c r="E16" t="s">
        <v>12</v>
      </c>
      <c r="F16">
        <v>4</v>
      </c>
      <c r="G16" s="2">
        <v>39.9</v>
      </c>
      <c r="H16" s="2">
        <v>0.1</v>
      </c>
      <c r="I16" s="2">
        <v>159.6</v>
      </c>
      <c r="J16" t="s">
        <v>117</v>
      </c>
    </row>
    <row r="17" spans="1:10">
      <c r="A17" t="s">
        <v>80</v>
      </c>
      <c r="B17">
        <f>MONTH(Vendas[[#This Row],[Data]])</f>
        <v>2</v>
      </c>
      <c r="C17" s="50">
        <v>44616</v>
      </c>
      <c r="D17" t="s">
        <v>85</v>
      </c>
      <c r="E17" t="s">
        <v>12</v>
      </c>
      <c r="F17">
        <v>10</v>
      </c>
      <c r="G17" s="2">
        <v>70</v>
      </c>
      <c r="H17" s="2">
        <v>0.15</v>
      </c>
      <c r="I17" s="2">
        <v>700</v>
      </c>
      <c r="J17" t="s">
        <v>119</v>
      </c>
    </row>
    <row r="18" spans="1:10">
      <c r="A18" t="s">
        <v>80</v>
      </c>
      <c r="B18">
        <f>MONTH(Vendas[[#This Row],[Data]])</f>
        <v>2</v>
      </c>
      <c r="C18" s="50">
        <v>44617</v>
      </c>
      <c r="D18" t="s">
        <v>39</v>
      </c>
      <c r="E18" t="s">
        <v>12</v>
      </c>
      <c r="F18">
        <v>5</v>
      </c>
      <c r="G18" s="2">
        <v>92.9</v>
      </c>
      <c r="H18" s="2">
        <v>0.15</v>
      </c>
      <c r="I18" s="2">
        <v>464.5</v>
      </c>
      <c r="J18" t="s">
        <v>119</v>
      </c>
    </row>
    <row r="19" spans="1:10">
      <c r="A19" t="s">
        <v>80</v>
      </c>
      <c r="B19">
        <f>MONTH(Vendas[[#This Row],[Data]])</f>
        <v>2</v>
      </c>
      <c r="C19" s="50">
        <v>44618</v>
      </c>
      <c r="D19" t="s">
        <v>52</v>
      </c>
      <c r="E19" t="s">
        <v>12</v>
      </c>
      <c r="F19">
        <v>2</v>
      </c>
      <c r="G19" s="2">
        <v>300</v>
      </c>
      <c r="H19" s="2">
        <v>0.15</v>
      </c>
      <c r="I19" s="2">
        <v>600</v>
      </c>
      <c r="J19" t="s">
        <v>115</v>
      </c>
    </row>
    <row r="20" spans="1:10">
      <c r="A20" t="s">
        <v>81</v>
      </c>
      <c r="B20">
        <f>MONTH(Vendas[[#This Row],[Data]])</f>
        <v>3</v>
      </c>
      <c r="C20" s="50">
        <v>44621</v>
      </c>
      <c r="D20" t="s">
        <v>31</v>
      </c>
      <c r="E20" t="s">
        <v>12</v>
      </c>
      <c r="F20">
        <v>5</v>
      </c>
      <c r="G20" s="2">
        <v>65.900000000000006</v>
      </c>
      <c r="H20" s="2">
        <v>0.2</v>
      </c>
      <c r="I20" s="2">
        <v>329.5</v>
      </c>
      <c r="J20" t="s">
        <v>115</v>
      </c>
    </row>
    <row r="21" spans="1:10">
      <c r="A21" t="s">
        <v>81</v>
      </c>
      <c r="B21">
        <f>MONTH(Vendas[[#This Row],[Data]])</f>
        <v>3</v>
      </c>
      <c r="C21" s="50">
        <v>44621</v>
      </c>
      <c r="D21" t="s">
        <v>43</v>
      </c>
      <c r="E21" t="s">
        <v>12</v>
      </c>
      <c r="F21">
        <v>3</v>
      </c>
      <c r="G21" s="2">
        <v>39.9</v>
      </c>
      <c r="H21" s="2">
        <v>0.2</v>
      </c>
      <c r="I21" s="2">
        <v>119.7</v>
      </c>
      <c r="J21" t="s">
        <v>118</v>
      </c>
    </row>
    <row r="22" spans="1:10">
      <c r="A22" t="s">
        <v>81</v>
      </c>
      <c r="B22">
        <f>MONTH(Vendas[[#This Row],[Data]])</f>
        <v>3</v>
      </c>
      <c r="C22" s="50">
        <v>44622</v>
      </c>
      <c r="D22" t="s">
        <v>43</v>
      </c>
      <c r="E22" t="s">
        <v>12</v>
      </c>
      <c r="F22">
        <v>1</v>
      </c>
      <c r="G22" s="2">
        <v>39.9</v>
      </c>
      <c r="H22" s="2">
        <v>0.1</v>
      </c>
      <c r="I22" s="2">
        <v>39.9</v>
      </c>
      <c r="J22" t="s">
        <v>118</v>
      </c>
    </row>
    <row r="23" spans="1:10">
      <c r="A23" t="s">
        <v>81</v>
      </c>
      <c r="B23">
        <f>MONTH(Vendas[[#This Row],[Data]])</f>
        <v>3</v>
      </c>
      <c r="C23" s="50">
        <v>44623</v>
      </c>
      <c r="D23" t="s">
        <v>37</v>
      </c>
      <c r="E23" t="s">
        <v>12</v>
      </c>
      <c r="F23">
        <v>12</v>
      </c>
      <c r="G23" s="2">
        <v>85.9</v>
      </c>
      <c r="H23" s="2">
        <v>0.15</v>
      </c>
      <c r="I23" s="2">
        <v>1030.8</v>
      </c>
      <c r="J23" t="s">
        <v>116</v>
      </c>
    </row>
    <row r="24" spans="1:10">
      <c r="A24" t="s">
        <v>81</v>
      </c>
      <c r="B24">
        <f>MONTH(Vendas[[#This Row],[Data]])</f>
        <v>3</v>
      </c>
      <c r="C24" s="50">
        <v>44624</v>
      </c>
      <c r="D24" t="s">
        <v>99</v>
      </c>
      <c r="E24" t="s">
        <v>12</v>
      </c>
      <c r="F24">
        <v>5</v>
      </c>
      <c r="G24" s="2">
        <v>32.9</v>
      </c>
      <c r="H24" s="2">
        <v>0.2</v>
      </c>
      <c r="I24" s="2">
        <v>164.5</v>
      </c>
      <c r="J24" t="s">
        <v>115</v>
      </c>
    </row>
    <row r="25" spans="1:10">
      <c r="A25" t="s">
        <v>81</v>
      </c>
      <c r="B25">
        <f>MONTH(Vendas[[#This Row],[Data]])</f>
        <v>3</v>
      </c>
      <c r="C25" s="50">
        <v>44629</v>
      </c>
      <c r="D25" t="s">
        <v>86</v>
      </c>
      <c r="E25" t="s">
        <v>12</v>
      </c>
      <c r="F25">
        <v>11</v>
      </c>
      <c r="G25" s="2">
        <v>54.9</v>
      </c>
      <c r="H25" s="2">
        <v>0.2</v>
      </c>
      <c r="I25" s="2">
        <v>603.9</v>
      </c>
      <c r="J25" t="s">
        <v>115</v>
      </c>
    </row>
    <row r="26" spans="1:10">
      <c r="A26" t="s">
        <v>81</v>
      </c>
      <c r="B26">
        <f>MONTH(Vendas[[#This Row],[Data]])</f>
        <v>3</v>
      </c>
      <c r="C26" s="50">
        <v>44634</v>
      </c>
      <c r="D26" t="s">
        <v>45</v>
      </c>
      <c r="E26" t="s">
        <v>12</v>
      </c>
      <c r="F26">
        <v>3</v>
      </c>
      <c r="G26" s="2">
        <v>42.5</v>
      </c>
      <c r="H26" s="2">
        <v>0.2</v>
      </c>
      <c r="I26" s="2">
        <v>127.5</v>
      </c>
      <c r="J26" t="s">
        <v>115</v>
      </c>
    </row>
    <row r="27" spans="1:10">
      <c r="A27" t="s">
        <v>81</v>
      </c>
      <c r="B27">
        <f>MONTH(Vendas[[#This Row],[Data]])</f>
        <v>3</v>
      </c>
      <c r="C27" s="50">
        <v>44639</v>
      </c>
      <c r="D27" t="s">
        <v>64</v>
      </c>
      <c r="E27" t="s">
        <v>12</v>
      </c>
      <c r="F27">
        <v>8</v>
      </c>
      <c r="G27" s="2">
        <v>89.9</v>
      </c>
      <c r="H27" s="2">
        <v>0.2</v>
      </c>
      <c r="I27" s="2">
        <v>719.2</v>
      </c>
      <c r="J27" t="s">
        <v>118</v>
      </c>
    </row>
    <row r="28" spans="1:10">
      <c r="A28" t="s">
        <v>81</v>
      </c>
      <c r="B28">
        <f>MONTH(Vendas[[#This Row],[Data]])</f>
        <v>3</v>
      </c>
      <c r="C28" s="50">
        <v>44641</v>
      </c>
      <c r="D28" t="s">
        <v>63</v>
      </c>
      <c r="E28" t="s">
        <v>14</v>
      </c>
      <c r="F28">
        <v>1</v>
      </c>
      <c r="G28" s="2">
        <v>259.89999999999998</v>
      </c>
      <c r="H28" s="2">
        <v>0</v>
      </c>
      <c r="I28" s="2">
        <v>259.89999999999998</v>
      </c>
      <c r="J28" t="s">
        <v>118</v>
      </c>
    </row>
    <row r="29" spans="1:10">
      <c r="A29" t="s">
        <v>81</v>
      </c>
      <c r="B29">
        <f>MONTH(Vendas[[#This Row],[Data]])</f>
        <v>3</v>
      </c>
      <c r="C29" s="50">
        <v>44645</v>
      </c>
      <c r="D29" t="s">
        <v>48</v>
      </c>
      <c r="E29" t="s">
        <v>12</v>
      </c>
      <c r="F29">
        <v>11</v>
      </c>
      <c r="G29" s="2">
        <v>32.9</v>
      </c>
      <c r="H29" s="2">
        <v>0.15</v>
      </c>
      <c r="I29" s="2">
        <v>361.9</v>
      </c>
      <c r="J29" t="s">
        <v>119</v>
      </c>
    </row>
    <row r="30" spans="1:10">
      <c r="A30" t="s">
        <v>82</v>
      </c>
      <c r="B30">
        <f>MONTH(Vendas[[#This Row],[Data]])</f>
        <v>4</v>
      </c>
      <c r="C30" s="50">
        <v>44653</v>
      </c>
      <c r="D30" t="s">
        <v>49</v>
      </c>
      <c r="E30" t="s">
        <v>13</v>
      </c>
      <c r="F30">
        <v>8</v>
      </c>
      <c r="G30" s="2">
        <v>49.9</v>
      </c>
      <c r="H30" s="2">
        <v>0.15</v>
      </c>
      <c r="I30" s="2">
        <v>399.2</v>
      </c>
      <c r="J30" t="s">
        <v>116</v>
      </c>
    </row>
    <row r="31" spans="1:10">
      <c r="A31" t="s">
        <v>82</v>
      </c>
      <c r="B31">
        <f>MONTH(Vendas[[#This Row],[Data]])</f>
        <v>4</v>
      </c>
      <c r="C31" s="50">
        <v>44655</v>
      </c>
      <c r="D31" t="s">
        <v>35</v>
      </c>
      <c r="E31" t="s">
        <v>13</v>
      </c>
      <c r="F31">
        <v>4</v>
      </c>
      <c r="G31" s="2">
        <v>259.89999999999998</v>
      </c>
      <c r="H31" s="2">
        <v>0.1</v>
      </c>
      <c r="I31" s="2">
        <v>1039.5999999999999</v>
      </c>
      <c r="J31" t="s">
        <v>117</v>
      </c>
    </row>
    <row r="32" spans="1:10">
      <c r="A32" t="s">
        <v>82</v>
      </c>
      <c r="B32">
        <f>MONTH(Vendas[[#This Row],[Data]])</f>
        <v>4</v>
      </c>
      <c r="C32" s="50">
        <v>44659</v>
      </c>
      <c r="D32" t="s">
        <v>56</v>
      </c>
      <c r="E32" t="s">
        <v>13</v>
      </c>
      <c r="F32">
        <v>1</v>
      </c>
      <c r="G32" s="2">
        <v>349.9</v>
      </c>
      <c r="H32" s="2">
        <v>0</v>
      </c>
      <c r="I32" s="2">
        <v>349.9</v>
      </c>
      <c r="J32" t="s">
        <v>116</v>
      </c>
    </row>
    <row r="33" spans="1:10">
      <c r="A33" t="s">
        <v>82</v>
      </c>
      <c r="B33">
        <f>MONTH(Vendas[[#This Row],[Data]])</f>
        <v>4</v>
      </c>
      <c r="C33" s="50">
        <v>44662</v>
      </c>
      <c r="D33" t="s">
        <v>103</v>
      </c>
      <c r="E33" t="s">
        <v>12</v>
      </c>
      <c r="F33">
        <v>7</v>
      </c>
      <c r="G33" s="2">
        <v>49.9</v>
      </c>
      <c r="H33" s="2">
        <v>0.2</v>
      </c>
      <c r="I33" s="2">
        <v>349.3</v>
      </c>
      <c r="J33" t="s">
        <v>118</v>
      </c>
    </row>
    <row r="34" spans="1:10">
      <c r="A34" t="s">
        <v>82</v>
      </c>
      <c r="B34">
        <f>MONTH(Vendas[[#This Row],[Data]])</f>
        <v>4</v>
      </c>
      <c r="C34" s="50">
        <v>44663</v>
      </c>
      <c r="D34" t="s">
        <v>85</v>
      </c>
      <c r="E34" t="s">
        <v>12</v>
      </c>
      <c r="F34">
        <v>11</v>
      </c>
      <c r="G34" s="2">
        <v>70</v>
      </c>
      <c r="H34" s="2">
        <v>0.2</v>
      </c>
      <c r="I34" s="2">
        <v>770</v>
      </c>
      <c r="J34" t="s">
        <v>118</v>
      </c>
    </row>
    <row r="35" spans="1:10">
      <c r="A35" t="s">
        <v>82</v>
      </c>
      <c r="B35">
        <f>MONTH(Vendas[[#This Row],[Data]])</f>
        <v>4</v>
      </c>
      <c r="C35" s="50">
        <v>44664</v>
      </c>
      <c r="D35" t="s">
        <v>69</v>
      </c>
      <c r="E35" t="s">
        <v>12</v>
      </c>
      <c r="F35">
        <v>3</v>
      </c>
      <c r="G35" s="2">
        <v>146</v>
      </c>
      <c r="H35" s="2">
        <v>0.15</v>
      </c>
      <c r="I35" s="2">
        <v>438</v>
      </c>
      <c r="J35" t="s">
        <v>119</v>
      </c>
    </row>
    <row r="36" spans="1:10">
      <c r="A36" t="s">
        <v>82</v>
      </c>
      <c r="B36">
        <f>MONTH(Vendas[[#This Row],[Data]])</f>
        <v>4</v>
      </c>
      <c r="C36" s="50">
        <v>44666</v>
      </c>
      <c r="D36" t="s">
        <v>104</v>
      </c>
      <c r="E36" t="s">
        <v>14</v>
      </c>
      <c r="F36">
        <v>8</v>
      </c>
      <c r="G36" s="2">
        <v>89.9</v>
      </c>
      <c r="H36" s="2">
        <v>0.15</v>
      </c>
      <c r="I36" s="2">
        <v>719.2</v>
      </c>
      <c r="J36" t="s">
        <v>119</v>
      </c>
    </row>
    <row r="37" spans="1:10">
      <c r="A37" t="s">
        <v>82</v>
      </c>
      <c r="B37">
        <f>MONTH(Vendas[[#This Row],[Data]])</f>
        <v>4</v>
      </c>
      <c r="C37" s="50">
        <v>44673</v>
      </c>
      <c r="D37" t="s">
        <v>57</v>
      </c>
      <c r="E37" t="s">
        <v>13</v>
      </c>
      <c r="F37">
        <v>9</v>
      </c>
      <c r="G37" s="2">
        <v>120</v>
      </c>
      <c r="H37" s="2">
        <v>0.15</v>
      </c>
      <c r="I37" s="2">
        <v>1080</v>
      </c>
      <c r="J37" t="s">
        <v>116</v>
      </c>
    </row>
    <row r="38" spans="1:10">
      <c r="A38" t="s">
        <v>82</v>
      </c>
      <c r="B38">
        <f>MONTH(Vendas[[#This Row],[Data]])</f>
        <v>4</v>
      </c>
      <c r="C38" s="50">
        <v>44674</v>
      </c>
      <c r="D38" t="s">
        <v>60</v>
      </c>
      <c r="E38" t="s">
        <v>14</v>
      </c>
      <c r="F38">
        <v>3</v>
      </c>
      <c r="G38" s="2">
        <v>259.89999999999998</v>
      </c>
      <c r="H38" s="2">
        <v>0.1</v>
      </c>
      <c r="I38" s="2">
        <v>779.7</v>
      </c>
      <c r="J38" t="s">
        <v>117</v>
      </c>
    </row>
    <row r="39" spans="1:10">
      <c r="A39" t="s">
        <v>82</v>
      </c>
      <c r="B39">
        <f>MONTH(Vendas[[#This Row],[Data]])</f>
        <v>4</v>
      </c>
      <c r="C39" s="50">
        <v>44677</v>
      </c>
      <c r="D39" t="s">
        <v>50</v>
      </c>
      <c r="E39" t="s">
        <v>12</v>
      </c>
      <c r="F39">
        <v>6</v>
      </c>
      <c r="G39" s="2">
        <v>299.89999999999998</v>
      </c>
      <c r="H39" s="2">
        <v>0.1</v>
      </c>
      <c r="I39" s="2">
        <v>1799.4</v>
      </c>
      <c r="J39" t="s">
        <v>117</v>
      </c>
    </row>
    <row r="40" spans="1:10">
      <c r="A40" t="s">
        <v>82</v>
      </c>
      <c r="B40">
        <f>MONTH(Vendas[[#This Row],[Data]])</f>
        <v>4</v>
      </c>
      <c r="C40" s="50">
        <v>44678</v>
      </c>
      <c r="D40" t="s">
        <v>111</v>
      </c>
      <c r="E40" t="s">
        <v>12</v>
      </c>
      <c r="F40">
        <v>11</v>
      </c>
      <c r="G40" s="2">
        <v>180</v>
      </c>
      <c r="H40" s="2">
        <v>0.15</v>
      </c>
      <c r="I40" s="2">
        <v>1980</v>
      </c>
      <c r="J40" t="s">
        <v>119</v>
      </c>
    </row>
    <row r="41" spans="1:10">
      <c r="A41" t="s">
        <v>83</v>
      </c>
      <c r="B41">
        <f>MONTH(Vendas[[#This Row],[Data]])</f>
        <v>5</v>
      </c>
      <c r="C41" s="50">
        <v>44689</v>
      </c>
      <c r="D41" t="s">
        <v>55</v>
      </c>
      <c r="E41" t="s">
        <v>12</v>
      </c>
      <c r="F41">
        <v>10</v>
      </c>
      <c r="G41" s="2">
        <v>299.89999999999998</v>
      </c>
      <c r="H41" s="2">
        <v>0.15</v>
      </c>
      <c r="I41" s="2">
        <v>2999</v>
      </c>
      <c r="J41" t="s">
        <v>116</v>
      </c>
    </row>
    <row r="42" spans="1:10">
      <c r="A42" t="s">
        <v>83</v>
      </c>
      <c r="B42">
        <f>MONTH(Vendas[[#This Row],[Data]])</f>
        <v>5</v>
      </c>
      <c r="C42" s="50">
        <v>44690</v>
      </c>
      <c r="D42" t="s">
        <v>108</v>
      </c>
      <c r="E42" t="s">
        <v>12</v>
      </c>
      <c r="F42">
        <v>8</v>
      </c>
      <c r="G42" s="2">
        <v>180</v>
      </c>
      <c r="H42" s="2">
        <v>0.15</v>
      </c>
      <c r="I42" s="2">
        <v>1440</v>
      </c>
      <c r="J42" t="s">
        <v>116</v>
      </c>
    </row>
    <row r="43" spans="1:10">
      <c r="A43" t="s">
        <v>83</v>
      </c>
      <c r="B43">
        <f>MONTH(Vendas[[#This Row],[Data]])</f>
        <v>5</v>
      </c>
      <c r="C43" s="50">
        <v>44691</v>
      </c>
      <c r="D43" t="s">
        <v>57</v>
      </c>
      <c r="E43" t="s">
        <v>13</v>
      </c>
      <c r="F43">
        <v>5</v>
      </c>
      <c r="G43" s="2">
        <v>120</v>
      </c>
      <c r="H43" s="2">
        <v>0.15</v>
      </c>
      <c r="I43" s="2">
        <v>600</v>
      </c>
      <c r="J43" t="s">
        <v>119</v>
      </c>
    </row>
    <row r="44" spans="1:10">
      <c r="A44" t="s">
        <v>83</v>
      </c>
      <c r="B44">
        <f>MONTH(Vendas[[#This Row],[Data]])</f>
        <v>5</v>
      </c>
      <c r="C44" s="50">
        <v>44692</v>
      </c>
      <c r="D44" t="s">
        <v>55</v>
      </c>
      <c r="E44" t="s">
        <v>12</v>
      </c>
      <c r="F44">
        <v>12</v>
      </c>
      <c r="G44" s="2">
        <v>299.89999999999998</v>
      </c>
      <c r="H44" s="2">
        <v>0.15</v>
      </c>
      <c r="I44" s="2">
        <v>3598.8</v>
      </c>
      <c r="J44" t="s">
        <v>116</v>
      </c>
    </row>
    <row r="45" spans="1:10">
      <c r="A45" t="s">
        <v>83</v>
      </c>
      <c r="B45">
        <f>MONTH(Vendas[[#This Row],[Data]])</f>
        <v>5</v>
      </c>
      <c r="C45" s="50">
        <v>44693</v>
      </c>
      <c r="D45" t="s">
        <v>66</v>
      </c>
      <c r="E45" t="s">
        <v>12</v>
      </c>
      <c r="F45">
        <v>10</v>
      </c>
      <c r="G45" s="2">
        <v>93.5</v>
      </c>
      <c r="H45" s="2">
        <v>0.1</v>
      </c>
      <c r="I45" s="2">
        <v>935</v>
      </c>
      <c r="J45" t="s">
        <v>117</v>
      </c>
    </row>
    <row r="46" spans="1:10">
      <c r="A46" t="s">
        <v>83</v>
      </c>
      <c r="B46">
        <f>MONTH(Vendas[[#This Row],[Data]])</f>
        <v>5</v>
      </c>
      <c r="C46" s="50">
        <v>44696</v>
      </c>
      <c r="D46" t="s">
        <v>95</v>
      </c>
      <c r="E46" t="s">
        <v>12</v>
      </c>
      <c r="F46">
        <v>1</v>
      </c>
      <c r="G46" s="2">
        <v>289.89999999999998</v>
      </c>
      <c r="H46" s="2">
        <v>0.1</v>
      </c>
      <c r="I46" s="2">
        <v>289.89999999999998</v>
      </c>
      <c r="J46" t="s">
        <v>115</v>
      </c>
    </row>
    <row r="47" spans="1:10">
      <c r="A47" t="s">
        <v>83</v>
      </c>
      <c r="B47">
        <f>MONTH(Vendas[[#This Row],[Data]])</f>
        <v>5</v>
      </c>
      <c r="C47" s="50">
        <v>44699</v>
      </c>
      <c r="D47" t="s">
        <v>32</v>
      </c>
      <c r="E47" t="s">
        <v>12</v>
      </c>
      <c r="F47">
        <v>10</v>
      </c>
      <c r="G47" s="2">
        <v>69.900000000000006</v>
      </c>
      <c r="H47" s="2">
        <v>0.1</v>
      </c>
      <c r="I47" s="2">
        <v>699</v>
      </c>
      <c r="J47" t="s">
        <v>117</v>
      </c>
    </row>
    <row r="48" spans="1:10">
      <c r="A48" t="s">
        <v>84</v>
      </c>
      <c r="B48">
        <f>MONTH(Vendas[[#This Row],[Data]])</f>
        <v>6</v>
      </c>
      <c r="C48" s="50">
        <v>44719</v>
      </c>
      <c r="D48" t="s">
        <v>65</v>
      </c>
      <c r="E48" t="s">
        <v>12</v>
      </c>
      <c r="F48">
        <v>10</v>
      </c>
      <c r="G48" s="2">
        <v>91.4</v>
      </c>
      <c r="H48" s="2">
        <v>0.15</v>
      </c>
      <c r="I48" s="2">
        <v>914</v>
      </c>
      <c r="J48" t="s">
        <v>119</v>
      </c>
    </row>
    <row r="49" spans="1:10">
      <c r="A49" t="s">
        <v>84</v>
      </c>
      <c r="B49">
        <f>MONTH(Vendas[[#This Row],[Data]])</f>
        <v>6</v>
      </c>
      <c r="C49" s="50">
        <v>44719</v>
      </c>
      <c r="D49" t="s">
        <v>90</v>
      </c>
      <c r="E49" t="s">
        <v>12</v>
      </c>
      <c r="F49">
        <v>4</v>
      </c>
      <c r="G49" s="2">
        <v>72.5</v>
      </c>
      <c r="H49" s="2">
        <v>0.15</v>
      </c>
      <c r="I49" s="2">
        <v>290</v>
      </c>
      <c r="J49" t="s">
        <v>119</v>
      </c>
    </row>
    <row r="50" spans="1:10">
      <c r="A50" t="s">
        <v>84</v>
      </c>
      <c r="B50">
        <f>MONTH(Vendas[[#This Row],[Data]])</f>
        <v>6</v>
      </c>
      <c r="C50" s="50">
        <v>44721</v>
      </c>
      <c r="D50" t="s">
        <v>102</v>
      </c>
      <c r="E50" t="s">
        <v>12</v>
      </c>
      <c r="F50">
        <v>9</v>
      </c>
      <c r="G50" s="2">
        <v>49.9</v>
      </c>
      <c r="H50" s="2">
        <v>0.2</v>
      </c>
      <c r="I50" s="2">
        <v>449.1</v>
      </c>
      <c r="J50" t="s">
        <v>115</v>
      </c>
    </row>
    <row r="51" spans="1:10">
      <c r="A51" t="s">
        <v>84</v>
      </c>
      <c r="B51">
        <f>MONTH(Vendas[[#This Row],[Data]])</f>
        <v>6</v>
      </c>
      <c r="C51" s="50">
        <v>44721</v>
      </c>
      <c r="D51" t="s">
        <v>34</v>
      </c>
      <c r="E51" t="s">
        <v>13</v>
      </c>
      <c r="F51">
        <v>10</v>
      </c>
      <c r="G51" s="2">
        <v>145</v>
      </c>
      <c r="H51" s="2">
        <v>0.2</v>
      </c>
      <c r="I51" s="2">
        <v>1450</v>
      </c>
      <c r="J51" t="s">
        <v>115</v>
      </c>
    </row>
    <row r="52" spans="1:10">
      <c r="A52" t="s">
        <v>84</v>
      </c>
      <c r="B52">
        <f>MONTH(Vendas[[#This Row],[Data]])</f>
        <v>6</v>
      </c>
      <c r="C52" s="50">
        <v>44723</v>
      </c>
      <c r="D52" t="s">
        <v>41</v>
      </c>
      <c r="E52" t="s">
        <v>12</v>
      </c>
      <c r="F52">
        <v>6</v>
      </c>
      <c r="G52" s="2">
        <v>46.9</v>
      </c>
      <c r="H52" s="2">
        <v>0.1</v>
      </c>
      <c r="I52" s="2">
        <v>281.39999999999998</v>
      </c>
      <c r="J52" t="s">
        <v>117</v>
      </c>
    </row>
    <row r="53" spans="1:10">
      <c r="A53" t="s">
        <v>84</v>
      </c>
      <c r="B53">
        <f>MONTH(Vendas[[#This Row],[Data]])</f>
        <v>6</v>
      </c>
      <c r="C53" s="50">
        <v>44725</v>
      </c>
      <c r="D53" t="s">
        <v>56</v>
      </c>
      <c r="E53" t="s">
        <v>13</v>
      </c>
      <c r="F53">
        <v>4</v>
      </c>
      <c r="G53" s="2">
        <v>349.9</v>
      </c>
      <c r="H53" s="2">
        <v>0.15</v>
      </c>
      <c r="I53" s="2">
        <v>1399.6</v>
      </c>
      <c r="J53" t="s">
        <v>119</v>
      </c>
    </row>
    <row r="54" spans="1:10">
      <c r="A54" t="s">
        <v>84</v>
      </c>
      <c r="B54">
        <f>MONTH(Vendas[[#This Row],[Data]])</f>
        <v>6</v>
      </c>
      <c r="C54" s="50">
        <v>44728</v>
      </c>
      <c r="D54" t="s">
        <v>46</v>
      </c>
      <c r="E54" t="s">
        <v>12</v>
      </c>
      <c r="F54">
        <v>6</v>
      </c>
      <c r="G54" s="2">
        <v>25.9</v>
      </c>
      <c r="H54" s="2">
        <v>0.2</v>
      </c>
      <c r="I54" s="2">
        <v>155.4</v>
      </c>
      <c r="J54" t="s">
        <v>118</v>
      </c>
    </row>
    <row r="55" spans="1:10">
      <c r="A55" t="s">
        <v>84</v>
      </c>
      <c r="B55">
        <f>MONTH(Vendas[[#This Row],[Data]])</f>
        <v>6</v>
      </c>
      <c r="C55" s="50">
        <v>44728</v>
      </c>
      <c r="D55" t="s">
        <v>112</v>
      </c>
      <c r="E55" t="s">
        <v>12</v>
      </c>
      <c r="F55">
        <v>5</v>
      </c>
      <c r="G55" s="2">
        <v>180</v>
      </c>
      <c r="H55" s="2">
        <v>0.15</v>
      </c>
      <c r="I55" s="2">
        <v>900</v>
      </c>
      <c r="J55" t="s">
        <v>119</v>
      </c>
    </row>
    <row r="56" spans="1:10">
      <c r="A56" t="s">
        <v>84</v>
      </c>
      <c r="B56">
        <f>MONTH(Vendas[[#This Row],[Data]])</f>
        <v>6</v>
      </c>
      <c r="C56" s="50">
        <v>44729</v>
      </c>
      <c r="D56" t="s">
        <v>60</v>
      </c>
      <c r="E56" t="s">
        <v>14</v>
      </c>
      <c r="F56">
        <v>5</v>
      </c>
      <c r="G56" s="2">
        <v>259.89999999999998</v>
      </c>
      <c r="H56" s="2">
        <v>0.1</v>
      </c>
      <c r="I56" s="2">
        <v>1299.5</v>
      </c>
      <c r="J56" t="s">
        <v>117</v>
      </c>
    </row>
    <row r="57" spans="1:10">
      <c r="A57" t="s">
        <v>84</v>
      </c>
      <c r="B57">
        <f>MONTH(Vendas[[#This Row],[Data]])</f>
        <v>6</v>
      </c>
      <c r="C57" s="50">
        <v>44732</v>
      </c>
      <c r="D57" t="s">
        <v>67</v>
      </c>
      <c r="E57" t="s">
        <v>12</v>
      </c>
      <c r="F57">
        <v>9</v>
      </c>
      <c r="G57" s="2">
        <v>140</v>
      </c>
      <c r="H57" s="2">
        <v>0.2</v>
      </c>
      <c r="I57" s="2">
        <v>1260</v>
      </c>
      <c r="J57" t="s">
        <v>118</v>
      </c>
    </row>
    <row r="58" spans="1:10">
      <c r="A58" t="s">
        <v>84</v>
      </c>
      <c r="B58">
        <f>MONTH(Vendas[[#This Row],[Data]])</f>
        <v>6</v>
      </c>
      <c r="C58" s="50">
        <v>44740</v>
      </c>
      <c r="D58" t="s">
        <v>34</v>
      </c>
      <c r="E58" t="s">
        <v>13</v>
      </c>
      <c r="F58">
        <v>10</v>
      </c>
      <c r="G58" s="2">
        <v>145</v>
      </c>
      <c r="H58" s="2">
        <v>0.2</v>
      </c>
      <c r="I58" s="2">
        <v>1450</v>
      </c>
      <c r="J58" t="s">
        <v>118</v>
      </c>
    </row>
    <row r="59" spans="1:10">
      <c r="A59" t="s">
        <v>84</v>
      </c>
      <c r="B59">
        <f>MONTH(Vendas[[#This Row],[Data]])</f>
        <v>6</v>
      </c>
      <c r="C59" s="50">
        <v>44740</v>
      </c>
      <c r="D59" t="s">
        <v>59</v>
      </c>
      <c r="E59" t="s">
        <v>14</v>
      </c>
      <c r="F59">
        <v>1</v>
      </c>
      <c r="G59" s="2">
        <v>255</v>
      </c>
      <c r="H59" s="2">
        <v>0</v>
      </c>
      <c r="I59" s="2">
        <v>255</v>
      </c>
      <c r="J59" t="s">
        <v>118</v>
      </c>
    </row>
    <row r="60" spans="1:10">
      <c r="A60" t="s">
        <v>84</v>
      </c>
      <c r="B60">
        <f>MONTH(Vendas[[#This Row],[Data]])</f>
        <v>6</v>
      </c>
      <c r="C60" s="50">
        <v>44741</v>
      </c>
      <c r="D60" t="s">
        <v>63</v>
      </c>
      <c r="E60" t="s">
        <v>14</v>
      </c>
      <c r="F60">
        <v>11</v>
      </c>
      <c r="G60" s="2">
        <v>259.89999999999998</v>
      </c>
      <c r="H60" s="2">
        <v>0.1</v>
      </c>
      <c r="I60" s="2">
        <v>2858.9</v>
      </c>
      <c r="J60" t="s">
        <v>117</v>
      </c>
    </row>
    <row r="61" spans="1:10">
      <c r="A61" t="s">
        <v>84</v>
      </c>
      <c r="B61">
        <f>MONTH(Vendas[[#This Row],[Data]])</f>
        <v>6</v>
      </c>
      <c r="C61" s="50">
        <v>44742</v>
      </c>
      <c r="D61" t="s">
        <v>98</v>
      </c>
      <c r="E61" t="s">
        <v>12</v>
      </c>
      <c r="F61">
        <v>5</v>
      </c>
      <c r="G61" s="2">
        <v>32.9</v>
      </c>
      <c r="H61" s="2">
        <v>0.2</v>
      </c>
      <c r="I61" s="2">
        <v>164.5</v>
      </c>
      <c r="J61" t="s">
        <v>118</v>
      </c>
    </row>
    <row r="62" spans="1:10">
      <c r="A62" t="s">
        <v>155</v>
      </c>
      <c r="B62">
        <f>MONTH(Vendas[[#This Row],[Data]])</f>
        <v>7</v>
      </c>
      <c r="C62" s="50">
        <v>44747</v>
      </c>
      <c r="D62" t="s">
        <v>39</v>
      </c>
      <c r="E62" t="s">
        <v>12</v>
      </c>
      <c r="F62">
        <v>3</v>
      </c>
      <c r="G62" s="2">
        <v>92.9</v>
      </c>
      <c r="H62" s="2">
        <v>0.1</v>
      </c>
      <c r="I62" s="2">
        <v>278.7</v>
      </c>
      <c r="J62" t="s">
        <v>117</v>
      </c>
    </row>
    <row r="63" spans="1:10">
      <c r="A63" t="s">
        <v>155</v>
      </c>
      <c r="B63">
        <f>MONTH(Vendas[[#This Row],[Data]])</f>
        <v>7</v>
      </c>
      <c r="C63" s="50">
        <v>44748</v>
      </c>
      <c r="D63" t="s">
        <v>56</v>
      </c>
      <c r="E63" t="s">
        <v>13</v>
      </c>
      <c r="F63">
        <v>5</v>
      </c>
      <c r="G63" s="2">
        <v>349.9</v>
      </c>
      <c r="H63" s="2">
        <v>0.2</v>
      </c>
      <c r="I63" s="2">
        <v>1749.5</v>
      </c>
      <c r="J63" t="s">
        <v>115</v>
      </c>
    </row>
    <row r="64" spans="1:10">
      <c r="A64" t="s">
        <v>155</v>
      </c>
      <c r="B64">
        <f>MONTH(Vendas[[#This Row],[Data]])</f>
        <v>7</v>
      </c>
      <c r="C64" s="50">
        <v>44749</v>
      </c>
      <c r="D64" t="s">
        <v>44</v>
      </c>
      <c r="E64" t="s">
        <v>12</v>
      </c>
      <c r="F64">
        <v>3</v>
      </c>
      <c r="G64" s="2">
        <v>39.9</v>
      </c>
      <c r="H64" s="2">
        <v>0.2</v>
      </c>
      <c r="I64" s="2">
        <v>119.7</v>
      </c>
      <c r="J64" t="s">
        <v>115</v>
      </c>
    </row>
    <row r="65" spans="1:10">
      <c r="A65" t="s">
        <v>155</v>
      </c>
      <c r="B65">
        <f>MONTH(Vendas[[#This Row],[Data]])</f>
        <v>7</v>
      </c>
      <c r="C65" s="50">
        <v>44754</v>
      </c>
      <c r="D65" t="s">
        <v>40</v>
      </c>
      <c r="E65" t="s">
        <v>12</v>
      </c>
      <c r="F65">
        <v>6</v>
      </c>
      <c r="G65" s="2">
        <v>44.9</v>
      </c>
      <c r="H65" s="2">
        <v>0.15</v>
      </c>
      <c r="I65" s="2">
        <v>269.39999999999998</v>
      </c>
      <c r="J65" t="s">
        <v>119</v>
      </c>
    </row>
    <row r="66" spans="1:10">
      <c r="A66" t="s">
        <v>155</v>
      </c>
      <c r="B66">
        <f>MONTH(Vendas[[#This Row],[Data]])</f>
        <v>7</v>
      </c>
      <c r="C66" s="50">
        <v>44755</v>
      </c>
      <c r="D66" t="s">
        <v>62</v>
      </c>
      <c r="E66" t="s">
        <v>14</v>
      </c>
      <c r="F66">
        <v>11</v>
      </c>
      <c r="G66" s="2">
        <v>250</v>
      </c>
      <c r="H66" s="2">
        <v>0.15</v>
      </c>
      <c r="I66" s="2">
        <v>2750</v>
      </c>
      <c r="J66" t="s">
        <v>116</v>
      </c>
    </row>
    <row r="67" spans="1:10">
      <c r="A67" t="s">
        <v>155</v>
      </c>
      <c r="B67">
        <f>MONTH(Vendas[[#This Row],[Data]])</f>
        <v>7</v>
      </c>
      <c r="C67" s="50">
        <v>44759</v>
      </c>
      <c r="D67" t="s">
        <v>69</v>
      </c>
      <c r="E67" t="s">
        <v>12</v>
      </c>
      <c r="F67">
        <v>8</v>
      </c>
      <c r="G67" s="2">
        <v>146</v>
      </c>
      <c r="H67" s="2">
        <v>0.15</v>
      </c>
      <c r="I67" s="2">
        <v>1168</v>
      </c>
      <c r="J67" t="s">
        <v>116</v>
      </c>
    </row>
    <row r="68" spans="1:10">
      <c r="A68" t="s">
        <v>155</v>
      </c>
      <c r="B68">
        <f>MONTH(Vendas[[#This Row],[Data]])</f>
        <v>7</v>
      </c>
      <c r="C68" s="50">
        <v>44765</v>
      </c>
      <c r="D68" t="s">
        <v>55</v>
      </c>
      <c r="E68" t="s">
        <v>12</v>
      </c>
      <c r="F68">
        <v>11</v>
      </c>
      <c r="G68" s="2">
        <v>299.89999999999998</v>
      </c>
      <c r="H68" s="2">
        <v>0.2</v>
      </c>
      <c r="I68" s="2">
        <v>3298.9</v>
      </c>
      <c r="J68" t="s">
        <v>115</v>
      </c>
    </row>
    <row r="69" spans="1:10">
      <c r="A69" t="s">
        <v>155</v>
      </c>
      <c r="B69">
        <f>MONTH(Vendas[[#This Row],[Data]])</f>
        <v>7</v>
      </c>
      <c r="C69" s="50">
        <v>44768</v>
      </c>
      <c r="D69" t="s">
        <v>99</v>
      </c>
      <c r="E69" t="s">
        <v>12</v>
      </c>
      <c r="F69">
        <v>1</v>
      </c>
      <c r="G69" s="2">
        <v>32.9</v>
      </c>
      <c r="H69" s="2">
        <v>0.1</v>
      </c>
      <c r="I69" s="2">
        <v>32.9</v>
      </c>
      <c r="J69" t="s">
        <v>115</v>
      </c>
    </row>
    <row r="70" spans="1:10">
      <c r="A70" t="s">
        <v>155</v>
      </c>
      <c r="B70">
        <f>MONTH(Vendas[[#This Row],[Data]])</f>
        <v>7</v>
      </c>
      <c r="C70" s="50">
        <v>44770</v>
      </c>
      <c r="D70" t="s">
        <v>102</v>
      </c>
      <c r="E70" t="s">
        <v>12</v>
      </c>
      <c r="F70">
        <v>2</v>
      </c>
      <c r="G70" s="2">
        <v>49.9</v>
      </c>
      <c r="H70" s="2">
        <v>0.15</v>
      </c>
      <c r="I70" s="2">
        <v>99.8</v>
      </c>
      <c r="J70" t="s">
        <v>115</v>
      </c>
    </row>
    <row r="71" spans="1:10">
      <c r="A71" t="s">
        <v>155</v>
      </c>
      <c r="B71">
        <f>MONTH(Vendas[[#This Row],[Data]])</f>
        <v>7</v>
      </c>
      <c r="C71" s="50">
        <v>44771</v>
      </c>
      <c r="D71" t="s">
        <v>90</v>
      </c>
      <c r="E71" t="s">
        <v>12</v>
      </c>
      <c r="F71">
        <v>12</v>
      </c>
      <c r="G71" s="2">
        <v>72.5</v>
      </c>
      <c r="H71" s="2">
        <v>0.2</v>
      </c>
      <c r="I71" s="2">
        <v>870</v>
      </c>
      <c r="J71" t="s">
        <v>118</v>
      </c>
    </row>
    <row r="72" spans="1:10">
      <c r="A72" t="s">
        <v>155</v>
      </c>
      <c r="B72">
        <f>MONTH(Vendas[[#This Row],[Data]])</f>
        <v>7</v>
      </c>
      <c r="C72" s="50">
        <v>44772</v>
      </c>
      <c r="D72" t="s">
        <v>67</v>
      </c>
      <c r="E72" t="s">
        <v>12</v>
      </c>
      <c r="F72">
        <v>4</v>
      </c>
      <c r="G72" s="2">
        <v>140</v>
      </c>
      <c r="H72" s="2">
        <v>0.2</v>
      </c>
      <c r="I72" s="2">
        <v>560</v>
      </c>
      <c r="J72" t="s">
        <v>118</v>
      </c>
    </row>
    <row r="73" spans="1:10">
      <c r="A73" t="s">
        <v>156</v>
      </c>
      <c r="B73">
        <f>MONTH(Vendas[[#This Row],[Data]])</f>
        <v>8</v>
      </c>
      <c r="C73" s="50">
        <v>44778</v>
      </c>
      <c r="D73" t="s">
        <v>63</v>
      </c>
      <c r="E73" t="s">
        <v>14</v>
      </c>
      <c r="F73">
        <v>4</v>
      </c>
      <c r="G73" s="2">
        <v>259.89999999999998</v>
      </c>
      <c r="H73" s="2">
        <v>0.15</v>
      </c>
      <c r="I73" s="2">
        <v>1039.5999999999999</v>
      </c>
      <c r="J73" t="s">
        <v>116</v>
      </c>
    </row>
    <row r="74" spans="1:10">
      <c r="A74" t="s">
        <v>156</v>
      </c>
      <c r="B74">
        <f>MONTH(Vendas[[#This Row],[Data]])</f>
        <v>8</v>
      </c>
      <c r="C74" s="50">
        <v>44779</v>
      </c>
      <c r="D74" t="s">
        <v>33</v>
      </c>
      <c r="E74" t="s">
        <v>12</v>
      </c>
      <c r="F74">
        <v>9</v>
      </c>
      <c r="G74" s="2">
        <v>70.900000000000006</v>
      </c>
      <c r="H74" s="2">
        <v>0.1</v>
      </c>
      <c r="I74" s="2">
        <v>638.1</v>
      </c>
      <c r="J74" t="s">
        <v>117</v>
      </c>
    </row>
    <row r="75" spans="1:10">
      <c r="A75" t="s">
        <v>156</v>
      </c>
      <c r="B75">
        <f>MONTH(Vendas[[#This Row],[Data]])</f>
        <v>8</v>
      </c>
      <c r="C75" s="50">
        <v>44780</v>
      </c>
      <c r="D75" t="s">
        <v>108</v>
      </c>
      <c r="E75" t="s">
        <v>12</v>
      </c>
      <c r="F75">
        <v>5</v>
      </c>
      <c r="G75" s="2">
        <v>180</v>
      </c>
      <c r="H75" s="2">
        <v>0.2</v>
      </c>
      <c r="I75" s="2">
        <v>900</v>
      </c>
      <c r="J75" t="s">
        <v>118</v>
      </c>
    </row>
    <row r="76" spans="1:10">
      <c r="A76" t="s">
        <v>156</v>
      </c>
      <c r="B76">
        <f>MONTH(Vendas[[#This Row],[Data]])</f>
        <v>8</v>
      </c>
      <c r="C76" s="50">
        <v>44781</v>
      </c>
      <c r="D76" t="s">
        <v>99</v>
      </c>
      <c r="E76" t="s">
        <v>12</v>
      </c>
      <c r="F76">
        <v>7</v>
      </c>
      <c r="G76" s="2">
        <v>32.9</v>
      </c>
      <c r="H76" s="2">
        <v>0.15</v>
      </c>
      <c r="I76" s="2">
        <v>230.3</v>
      </c>
      <c r="J76" t="s">
        <v>119</v>
      </c>
    </row>
    <row r="77" spans="1:10">
      <c r="A77" t="s">
        <v>156</v>
      </c>
      <c r="B77">
        <f>MONTH(Vendas[[#This Row],[Data]])</f>
        <v>8</v>
      </c>
      <c r="C77" s="50">
        <v>44782</v>
      </c>
      <c r="D77" t="s">
        <v>90</v>
      </c>
      <c r="E77" t="s">
        <v>12</v>
      </c>
      <c r="F77">
        <v>2</v>
      </c>
      <c r="G77" s="2">
        <v>72.5</v>
      </c>
      <c r="H77" s="2">
        <v>0.15</v>
      </c>
      <c r="I77" s="2">
        <v>145</v>
      </c>
      <c r="J77" t="s">
        <v>119</v>
      </c>
    </row>
    <row r="78" spans="1:10">
      <c r="A78" t="s">
        <v>156</v>
      </c>
      <c r="B78">
        <f>MONTH(Vendas[[#This Row],[Data]])</f>
        <v>8</v>
      </c>
      <c r="C78" s="50">
        <v>44783</v>
      </c>
      <c r="D78" t="s">
        <v>49</v>
      </c>
      <c r="E78" t="s">
        <v>13</v>
      </c>
      <c r="F78">
        <v>6</v>
      </c>
      <c r="G78" s="2">
        <v>49.9</v>
      </c>
      <c r="H78" s="2">
        <v>0.15</v>
      </c>
      <c r="I78" s="2">
        <v>299.39999999999998</v>
      </c>
      <c r="J78" t="s">
        <v>119</v>
      </c>
    </row>
    <row r="79" spans="1:10">
      <c r="A79" t="s">
        <v>156</v>
      </c>
      <c r="B79">
        <f>MONTH(Vendas[[#This Row],[Data]])</f>
        <v>8</v>
      </c>
      <c r="C79" s="50">
        <v>44784</v>
      </c>
      <c r="D79" t="s">
        <v>66</v>
      </c>
      <c r="E79" t="s">
        <v>12</v>
      </c>
      <c r="F79">
        <v>1</v>
      </c>
      <c r="G79" s="2">
        <v>93.5</v>
      </c>
      <c r="H79" s="2">
        <v>0.1</v>
      </c>
      <c r="I79" s="2">
        <v>93.5</v>
      </c>
      <c r="J79" t="s">
        <v>117</v>
      </c>
    </row>
    <row r="80" spans="1:10">
      <c r="A80" t="s">
        <v>156</v>
      </c>
      <c r="B80">
        <f>MONTH(Vendas[[#This Row],[Data]])</f>
        <v>8</v>
      </c>
      <c r="C80" s="50">
        <v>44785</v>
      </c>
      <c r="D80" t="s">
        <v>59</v>
      </c>
      <c r="E80" t="s">
        <v>14</v>
      </c>
      <c r="F80">
        <v>7</v>
      </c>
      <c r="G80" s="2">
        <v>255</v>
      </c>
      <c r="H80" s="2">
        <v>0.15</v>
      </c>
      <c r="I80" s="2">
        <v>1785</v>
      </c>
      <c r="J80" t="s">
        <v>116</v>
      </c>
    </row>
    <row r="81" spans="1:10">
      <c r="A81" t="s">
        <v>156</v>
      </c>
      <c r="B81">
        <f>MONTH(Vendas[[#This Row],[Data]])</f>
        <v>8</v>
      </c>
      <c r="C81" s="50">
        <v>44786</v>
      </c>
      <c r="D81" t="s">
        <v>56</v>
      </c>
      <c r="E81" t="s">
        <v>13</v>
      </c>
      <c r="F81">
        <v>10</v>
      </c>
      <c r="G81" s="2">
        <v>349.9</v>
      </c>
      <c r="H81" s="2">
        <v>0.15</v>
      </c>
      <c r="I81" s="2">
        <v>3499</v>
      </c>
      <c r="J81" t="s">
        <v>119</v>
      </c>
    </row>
    <row r="82" spans="1:10">
      <c r="A82" t="s">
        <v>156</v>
      </c>
      <c r="B82">
        <f>MONTH(Vendas[[#This Row],[Data]])</f>
        <v>8</v>
      </c>
      <c r="C82" s="50">
        <v>44787</v>
      </c>
      <c r="D82" t="s">
        <v>87</v>
      </c>
      <c r="E82" t="s">
        <v>12</v>
      </c>
      <c r="F82">
        <v>8</v>
      </c>
      <c r="G82" s="2">
        <v>54.9</v>
      </c>
      <c r="H82" s="2">
        <v>0.2</v>
      </c>
      <c r="I82" s="2">
        <v>439.2</v>
      </c>
      <c r="J82" t="s">
        <v>118</v>
      </c>
    </row>
    <row r="83" spans="1:10">
      <c r="A83" t="s">
        <v>156</v>
      </c>
      <c r="B83">
        <f>MONTH(Vendas[[#This Row],[Data]])</f>
        <v>8</v>
      </c>
      <c r="C83" s="50">
        <v>44788</v>
      </c>
      <c r="D83" t="s">
        <v>41</v>
      </c>
      <c r="E83" t="s">
        <v>12</v>
      </c>
      <c r="F83">
        <v>11</v>
      </c>
      <c r="G83" s="2">
        <v>46.9</v>
      </c>
      <c r="H83" s="2">
        <v>0.2</v>
      </c>
      <c r="I83" s="2">
        <v>515.9</v>
      </c>
      <c r="J83" t="s">
        <v>118</v>
      </c>
    </row>
    <row r="84" spans="1:10">
      <c r="A84" t="s">
        <v>157</v>
      </c>
      <c r="B84">
        <f>MONTH(Vendas[[#This Row],[Data]])</f>
        <v>9</v>
      </c>
      <c r="C84" s="50">
        <v>44809</v>
      </c>
      <c r="D84" t="s">
        <v>99</v>
      </c>
      <c r="E84" t="s">
        <v>12</v>
      </c>
      <c r="F84">
        <v>7</v>
      </c>
      <c r="G84" s="2">
        <v>32.9</v>
      </c>
      <c r="H84" s="2">
        <v>0.15</v>
      </c>
      <c r="I84" s="2">
        <v>230.3</v>
      </c>
      <c r="J84" t="s">
        <v>119</v>
      </c>
    </row>
    <row r="85" spans="1:10">
      <c r="A85" t="s">
        <v>157</v>
      </c>
      <c r="B85">
        <f>MONTH(Vendas[[#This Row],[Data]])</f>
        <v>9</v>
      </c>
      <c r="C85" s="50">
        <v>44810</v>
      </c>
      <c r="D85" t="s">
        <v>41</v>
      </c>
      <c r="E85" t="s">
        <v>12</v>
      </c>
      <c r="F85">
        <v>12</v>
      </c>
      <c r="G85" s="2">
        <v>46.9</v>
      </c>
      <c r="H85" s="2">
        <v>0.2</v>
      </c>
      <c r="I85" s="2">
        <v>562.79999999999995</v>
      </c>
      <c r="J85" t="s">
        <v>115</v>
      </c>
    </row>
    <row r="86" spans="1:10">
      <c r="A86" t="s">
        <v>157</v>
      </c>
      <c r="B86">
        <f>MONTH(Vendas[[#This Row],[Data]])</f>
        <v>9</v>
      </c>
      <c r="C86" s="50">
        <v>44811</v>
      </c>
      <c r="D86" t="s">
        <v>50</v>
      </c>
      <c r="E86" t="s">
        <v>12</v>
      </c>
      <c r="F86">
        <v>9</v>
      </c>
      <c r="G86" s="2">
        <v>299.89999999999998</v>
      </c>
      <c r="H86" s="2">
        <v>0.15</v>
      </c>
      <c r="I86" s="2">
        <v>2699.1</v>
      </c>
      <c r="J86" t="s">
        <v>116</v>
      </c>
    </row>
    <row r="87" spans="1:10">
      <c r="A87" t="s">
        <v>157</v>
      </c>
      <c r="B87">
        <f>MONTH(Vendas[[#This Row],[Data]])</f>
        <v>9</v>
      </c>
      <c r="C87" s="50">
        <v>44812</v>
      </c>
      <c r="D87" t="s">
        <v>92</v>
      </c>
      <c r="E87" t="s">
        <v>12</v>
      </c>
      <c r="F87">
        <v>6</v>
      </c>
      <c r="G87" s="2">
        <v>289.89999999999998</v>
      </c>
      <c r="H87" s="2">
        <v>0.1</v>
      </c>
      <c r="I87" s="2">
        <v>1739.4</v>
      </c>
      <c r="J87" t="s">
        <v>117</v>
      </c>
    </row>
    <row r="88" spans="1:10">
      <c r="A88" t="s">
        <v>157</v>
      </c>
      <c r="B88">
        <f>MONTH(Vendas[[#This Row],[Data]])</f>
        <v>9</v>
      </c>
      <c r="C88" s="50">
        <v>44813</v>
      </c>
      <c r="D88" t="s">
        <v>52</v>
      </c>
      <c r="E88" t="s">
        <v>12</v>
      </c>
      <c r="F88">
        <v>2</v>
      </c>
      <c r="G88" s="2">
        <v>300</v>
      </c>
      <c r="H88" s="2">
        <v>0.15</v>
      </c>
      <c r="I88" s="2">
        <v>600</v>
      </c>
      <c r="J88" t="s">
        <v>119</v>
      </c>
    </row>
    <row r="89" spans="1:10">
      <c r="A89" t="s">
        <v>157</v>
      </c>
      <c r="B89">
        <f>MONTH(Vendas[[#This Row],[Data]])</f>
        <v>9</v>
      </c>
      <c r="C89" s="50">
        <v>44814</v>
      </c>
      <c r="D89" t="s">
        <v>63</v>
      </c>
      <c r="E89" t="s">
        <v>14</v>
      </c>
      <c r="F89">
        <v>3</v>
      </c>
      <c r="G89" s="2">
        <v>259.89999999999998</v>
      </c>
      <c r="H89" s="2">
        <v>0.1</v>
      </c>
      <c r="I89" s="2">
        <v>779.7</v>
      </c>
      <c r="J89" t="s">
        <v>117</v>
      </c>
    </row>
    <row r="90" spans="1:10">
      <c r="A90" t="s">
        <v>157</v>
      </c>
      <c r="B90">
        <f>MONTH(Vendas[[#This Row],[Data]])</f>
        <v>9</v>
      </c>
      <c r="C90" s="50">
        <v>44815</v>
      </c>
      <c r="D90" t="s">
        <v>37</v>
      </c>
      <c r="E90" t="s">
        <v>12</v>
      </c>
      <c r="F90">
        <v>9</v>
      </c>
      <c r="G90" s="2">
        <v>85.9</v>
      </c>
      <c r="H90" s="2">
        <v>0.2</v>
      </c>
      <c r="I90" s="2">
        <v>773.1</v>
      </c>
      <c r="J90" t="s">
        <v>118</v>
      </c>
    </row>
    <row r="91" spans="1:10">
      <c r="A91" t="s">
        <v>157</v>
      </c>
      <c r="B91">
        <f>MONTH(Vendas[[#This Row],[Data]])</f>
        <v>9</v>
      </c>
      <c r="C91" s="50">
        <v>44816</v>
      </c>
      <c r="D91" t="s">
        <v>91</v>
      </c>
      <c r="E91" t="s">
        <v>12</v>
      </c>
      <c r="F91">
        <v>4</v>
      </c>
      <c r="G91" s="2">
        <v>72.5</v>
      </c>
      <c r="H91" s="2">
        <v>0.2</v>
      </c>
      <c r="I91" s="2">
        <v>290</v>
      </c>
      <c r="J91" t="s">
        <v>115</v>
      </c>
    </row>
    <row r="92" spans="1:10">
      <c r="A92" t="s">
        <v>157</v>
      </c>
      <c r="B92">
        <f>MONTH(Vendas[[#This Row],[Data]])</f>
        <v>9</v>
      </c>
      <c r="C92" s="50">
        <v>44817</v>
      </c>
      <c r="D92" t="s">
        <v>107</v>
      </c>
      <c r="E92" t="s">
        <v>14</v>
      </c>
      <c r="F92">
        <v>1</v>
      </c>
      <c r="G92" s="2">
        <v>89.9</v>
      </c>
      <c r="H92" s="2">
        <v>0</v>
      </c>
      <c r="I92" s="2">
        <v>89.9</v>
      </c>
      <c r="J92" t="s">
        <v>118</v>
      </c>
    </row>
    <row r="93" spans="1:10">
      <c r="A93" t="s">
        <v>157</v>
      </c>
      <c r="B93">
        <f>MONTH(Vendas[[#This Row],[Data]])</f>
        <v>9</v>
      </c>
      <c r="C93" s="50">
        <v>44818</v>
      </c>
      <c r="D93" t="s">
        <v>51</v>
      </c>
      <c r="E93" t="s">
        <v>12</v>
      </c>
      <c r="F93">
        <v>11</v>
      </c>
      <c r="G93" s="2">
        <v>302.89999999999998</v>
      </c>
      <c r="H93" s="2">
        <v>0.15</v>
      </c>
      <c r="I93" s="2">
        <v>3331.9</v>
      </c>
      <c r="J93" t="s">
        <v>119</v>
      </c>
    </row>
    <row r="94" spans="1:10">
      <c r="A94" t="s">
        <v>157</v>
      </c>
      <c r="B94">
        <f>MONTH(Vendas[[#This Row],[Data]])</f>
        <v>9</v>
      </c>
      <c r="C94" s="50">
        <v>44819</v>
      </c>
      <c r="D94" t="s">
        <v>48</v>
      </c>
      <c r="E94" t="s">
        <v>12</v>
      </c>
      <c r="F94">
        <v>6</v>
      </c>
      <c r="G94" s="2">
        <v>32.9</v>
      </c>
      <c r="H94" s="2">
        <v>0.2</v>
      </c>
      <c r="I94" s="2">
        <v>197.4</v>
      </c>
      <c r="J94" t="s">
        <v>115</v>
      </c>
    </row>
    <row r="95" spans="1:10">
      <c r="A95" t="s">
        <v>158</v>
      </c>
      <c r="B95">
        <f>MONTH(Vendas[[#This Row],[Data]])</f>
        <v>10</v>
      </c>
      <c r="C95" s="50">
        <v>44839</v>
      </c>
      <c r="D95" t="s">
        <v>85</v>
      </c>
      <c r="E95" t="s">
        <v>12</v>
      </c>
      <c r="F95">
        <v>5</v>
      </c>
      <c r="G95" s="2">
        <v>70</v>
      </c>
      <c r="H95" s="2">
        <v>0.15</v>
      </c>
      <c r="I95" s="2">
        <v>350</v>
      </c>
      <c r="J95" t="s">
        <v>119</v>
      </c>
    </row>
    <row r="96" spans="1:10">
      <c r="A96" t="s">
        <v>158</v>
      </c>
      <c r="B96">
        <f>MONTH(Vendas[[#This Row],[Data]])</f>
        <v>10</v>
      </c>
      <c r="C96" s="50">
        <v>44840</v>
      </c>
      <c r="D96" t="s">
        <v>43</v>
      </c>
      <c r="E96" t="s">
        <v>12</v>
      </c>
      <c r="F96">
        <v>10</v>
      </c>
      <c r="G96" s="2">
        <v>39.9</v>
      </c>
      <c r="H96" s="2">
        <v>0.2</v>
      </c>
      <c r="I96" s="2">
        <v>399</v>
      </c>
      <c r="J96" t="s">
        <v>115</v>
      </c>
    </row>
    <row r="97" spans="1:10">
      <c r="A97" t="s">
        <v>158</v>
      </c>
      <c r="B97">
        <f>MONTH(Vendas[[#This Row],[Data]])</f>
        <v>10</v>
      </c>
      <c r="C97" s="50">
        <v>44841</v>
      </c>
      <c r="D97" t="s">
        <v>33</v>
      </c>
      <c r="E97" t="s">
        <v>12</v>
      </c>
      <c r="F97">
        <v>8</v>
      </c>
      <c r="G97" s="2">
        <v>70.900000000000006</v>
      </c>
      <c r="H97" s="2">
        <v>0.15</v>
      </c>
      <c r="I97" s="2">
        <v>567.20000000000005</v>
      </c>
      <c r="J97" t="s">
        <v>116</v>
      </c>
    </row>
    <row r="98" spans="1:10">
      <c r="A98" t="s">
        <v>158</v>
      </c>
      <c r="B98">
        <f>MONTH(Vendas[[#This Row],[Data]])</f>
        <v>10</v>
      </c>
      <c r="C98" s="50">
        <v>44842</v>
      </c>
      <c r="D98" t="s">
        <v>35</v>
      </c>
      <c r="E98" t="s">
        <v>13</v>
      </c>
      <c r="F98">
        <v>11</v>
      </c>
      <c r="G98" s="2">
        <v>259.89999999999998</v>
      </c>
      <c r="H98" s="2">
        <v>0.2</v>
      </c>
      <c r="I98" s="2">
        <v>2858.9</v>
      </c>
      <c r="J98" t="s">
        <v>118</v>
      </c>
    </row>
    <row r="99" spans="1:10">
      <c r="A99" t="s">
        <v>158</v>
      </c>
      <c r="B99">
        <f>MONTH(Vendas[[#This Row],[Data]])</f>
        <v>10</v>
      </c>
      <c r="C99" s="50">
        <v>44843</v>
      </c>
      <c r="D99" t="s">
        <v>94</v>
      </c>
      <c r="E99" t="s">
        <v>12</v>
      </c>
      <c r="F99">
        <v>4</v>
      </c>
      <c r="G99" s="2">
        <v>289.89999999999998</v>
      </c>
      <c r="H99" s="2">
        <v>0.2</v>
      </c>
      <c r="I99" s="2">
        <v>1159.5999999999999</v>
      </c>
      <c r="J99" t="s">
        <v>118</v>
      </c>
    </row>
    <row r="100" spans="1:10">
      <c r="A100" t="s">
        <v>158</v>
      </c>
      <c r="B100">
        <f>MONTH(Vendas[[#This Row],[Data]])</f>
        <v>10</v>
      </c>
      <c r="C100" s="50">
        <v>44844</v>
      </c>
      <c r="D100" t="s">
        <v>56</v>
      </c>
      <c r="E100" t="s">
        <v>13</v>
      </c>
      <c r="F100">
        <v>2</v>
      </c>
      <c r="G100" s="2">
        <v>349.9</v>
      </c>
      <c r="H100" s="2">
        <v>0.05</v>
      </c>
      <c r="I100" s="2">
        <v>699.8</v>
      </c>
      <c r="J100" t="s">
        <v>115</v>
      </c>
    </row>
    <row r="101" spans="1:10">
      <c r="A101" t="s">
        <v>158</v>
      </c>
      <c r="B101">
        <f>MONTH(Vendas[[#This Row],[Data]])</f>
        <v>10</v>
      </c>
      <c r="C101" s="50">
        <v>44845</v>
      </c>
      <c r="D101" t="s">
        <v>100</v>
      </c>
      <c r="E101" t="s">
        <v>12</v>
      </c>
      <c r="F101">
        <v>11</v>
      </c>
      <c r="G101" s="2">
        <v>49.9</v>
      </c>
      <c r="H101" s="2">
        <v>0.1</v>
      </c>
      <c r="I101" s="2">
        <v>548.9</v>
      </c>
      <c r="J101" t="s">
        <v>117</v>
      </c>
    </row>
    <row r="102" spans="1:10">
      <c r="A102" t="s">
        <v>158</v>
      </c>
      <c r="B102">
        <f>MONTH(Vendas[[#This Row],[Data]])</f>
        <v>10</v>
      </c>
      <c r="C102" s="50">
        <v>44846</v>
      </c>
      <c r="D102" t="s">
        <v>45</v>
      </c>
      <c r="E102" t="s">
        <v>12</v>
      </c>
      <c r="F102">
        <v>8</v>
      </c>
      <c r="G102" s="2">
        <v>42.5</v>
      </c>
      <c r="H102" s="2">
        <v>0.2</v>
      </c>
      <c r="I102" s="2">
        <v>340</v>
      </c>
      <c r="J102" t="s">
        <v>118</v>
      </c>
    </row>
    <row r="103" spans="1:10">
      <c r="A103" t="s">
        <v>158</v>
      </c>
      <c r="B103">
        <f>MONTH(Vendas[[#This Row],[Data]])</f>
        <v>10</v>
      </c>
      <c r="C103" s="50">
        <v>44847</v>
      </c>
      <c r="D103" t="s">
        <v>98</v>
      </c>
      <c r="E103" t="s">
        <v>12</v>
      </c>
      <c r="F103">
        <v>12</v>
      </c>
      <c r="G103" s="2">
        <v>32.9</v>
      </c>
      <c r="H103" s="2">
        <v>0.15</v>
      </c>
      <c r="I103" s="2">
        <v>394.8</v>
      </c>
      <c r="J103" t="s">
        <v>119</v>
      </c>
    </row>
    <row r="104" spans="1:10">
      <c r="A104" t="s">
        <v>158</v>
      </c>
      <c r="B104">
        <f>MONTH(Vendas[[#This Row],[Data]])</f>
        <v>10</v>
      </c>
      <c r="C104" s="50">
        <v>44848</v>
      </c>
      <c r="D104" t="s">
        <v>91</v>
      </c>
      <c r="E104" t="s">
        <v>12</v>
      </c>
      <c r="F104">
        <v>7</v>
      </c>
      <c r="G104" s="2">
        <v>72.5</v>
      </c>
      <c r="H104" s="2">
        <v>0.15</v>
      </c>
      <c r="I104" s="2">
        <v>507.5</v>
      </c>
      <c r="J104" t="s">
        <v>119</v>
      </c>
    </row>
    <row r="105" spans="1:10">
      <c r="A105" t="s">
        <v>158</v>
      </c>
      <c r="B105">
        <f>MONTH(Vendas[[#This Row],[Data]])</f>
        <v>10</v>
      </c>
      <c r="C105" s="50">
        <v>44849</v>
      </c>
      <c r="D105" t="s">
        <v>62</v>
      </c>
      <c r="E105" t="s">
        <v>14</v>
      </c>
      <c r="F105">
        <v>6</v>
      </c>
      <c r="G105" s="2">
        <v>250</v>
      </c>
      <c r="H105" s="2">
        <v>0.15</v>
      </c>
      <c r="I105" s="2">
        <v>1500</v>
      </c>
      <c r="J105" t="s">
        <v>116</v>
      </c>
    </row>
    <row r="106" spans="1:10">
      <c r="A106" t="s">
        <v>159</v>
      </c>
      <c r="B106">
        <f>MONTH(Vendas[[#This Row],[Data]])</f>
        <v>11</v>
      </c>
      <c r="C106" s="50">
        <v>44870</v>
      </c>
      <c r="D106" t="s">
        <v>69</v>
      </c>
      <c r="E106" t="s">
        <v>12</v>
      </c>
      <c r="F106">
        <v>4</v>
      </c>
      <c r="G106" s="2">
        <v>146</v>
      </c>
      <c r="H106" s="2">
        <v>0.15</v>
      </c>
      <c r="I106" s="2">
        <v>584</v>
      </c>
      <c r="J106" t="s">
        <v>116</v>
      </c>
    </row>
    <row r="107" spans="1:10">
      <c r="A107" t="s">
        <v>159</v>
      </c>
      <c r="B107">
        <f>MONTH(Vendas[[#This Row],[Data]])</f>
        <v>11</v>
      </c>
      <c r="C107" s="50">
        <v>44871</v>
      </c>
      <c r="D107" t="s">
        <v>47</v>
      </c>
      <c r="E107" t="s">
        <v>12</v>
      </c>
      <c r="F107">
        <v>7</v>
      </c>
      <c r="G107" s="2">
        <v>29.9</v>
      </c>
      <c r="H107" s="2">
        <v>0.15</v>
      </c>
      <c r="I107" s="2">
        <v>209.3</v>
      </c>
      <c r="J107" t="s">
        <v>119</v>
      </c>
    </row>
    <row r="108" spans="1:10">
      <c r="A108" t="s">
        <v>159</v>
      </c>
      <c r="B108">
        <f>MONTH(Vendas[[#This Row],[Data]])</f>
        <v>11</v>
      </c>
      <c r="C108" s="50">
        <v>44872</v>
      </c>
      <c r="D108" t="s">
        <v>46</v>
      </c>
      <c r="E108" t="s">
        <v>12</v>
      </c>
      <c r="F108">
        <v>1</v>
      </c>
      <c r="G108" s="2">
        <v>25.9</v>
      </c>
      <c r="H108" s="2">
        <v>0.1</v>
      </c>
      <c r="I108" s="2">
        <v>25.9</v>
      </c>
      <c r="J108" t="s">
        <v>117</v>
      </c>
    </row>
    <row r="109" spans="1:10">
      <c r="A109" t="s">
        <v>159</v>
      </c>
      <c r="B109">
        <f>MONTH(Vendas[[#This Row],[Data]])</f>
        <v>11</v>
      </c>
      <c r="C109" s="50">
        <v>44873</v>
      </c>
      <c r="D109" t="s">
        <v>90</v>
      </c>
      <c r="E109" t="s">
        <v>12</v>
      </c>
      <c r="F109">
        <v>10</v>
      </c>
      <c r="G109" s="2">
        <v>72.5</v>
      </c>
      <c r="H109" s="2">
        <v>0.15</v>
      </c>
      <c r="I109" s="2">
        <v>725</v>
      </c>
      <c r="J109" t="s">
        <v>116</v>
      </c>
    </row>
    <row r="110" spans="1:10">
      <c r="A110" t="s">
        <v>159</v>
      </c>
      <c r="B110">
        <f>MONTH(Vendas[[#This Row],[Data]])</f>
        <v>11</v>
      </c>
      <c r="C110" s="50">
        <v>44874</v>
      </c>
      <c r="D110" t="s">
        <v>104</v>
      </c>
      <c r="E110" t="s">
        <v>14</v>
      </c>
      <c r="F110">
        <v>8</v>
      </c>
      <c r="G110" s="2">
        <v>89.9</v>
      </c>
      <c r="H110" s="2">
        <v>0.1</v>
      </c>
      <c r="I110" s="2">
        <v>719.2</v>
      </c>
      <c r="J110" t="s">
        <v>117</v>
      </c>
    </row>
    <row r="111" spans="1:10">
      <c r="A111" t="s">
        <v>159</v>
      </c>
      <c r="B111">
        <f>MONTH(Vendas[[#This Row],[Data]])</f>
        <v>11</v>
      </c>
      <c r="C111" s="50">
        <v>44875</v>
      </c>
      <c r="D111" t="s">
        <v>69</v>
      </c>
      <c r="E111" t="s">
        <v>12</v>
      </c>
      <c r="F111">
        <v>9</v>
      </c>
      <c r="G111" s="2">
        <v>146</v>
      </c>
      <c r="H111" s="2">
        <v>0.1</v>
      </c>
      <c r="I111" s="2">
        <v>1314</v>
      </c>
      <c r="J111" t="s">
        <v>117</v>
      </c>
    </row>
    <row r="112" spans="1:10">
      <c r="A112" t="s">
        <v>159</v>
      </c>
      <c r="B112">
        <f>MONTH(Vendas[[#This Row],[Data]])</f>
        <v>11</v>
      </c>
      <c r="C112" s="50">
        <v>44876</v>
      </c>
      <c r="D112" t="s">
        <v>105</v>
      </c>
      <c r="E112" t="s">
        <v>14</v>
      </c>
      <c r="F112">
        <v>3</v>
      </c>
      <c r="G112" s="2">
        <v>89.9</v>
      </c>
      <c r="H112" s="2">
        <v>0.15</v>
      </c>
      <c r="I112" s="2">
        <v>269.7</v>
      </c>
      <c r="J112" t="s">
        <v>118</v>
      </c>
    </row>
    <row r="113" spans="1:10">
      <c r="A113" t="s">
        <v>159</v>
      </c>
      <c r="B113">
        <f>MONTH(Vendas[[#This Row],[Data]])</f>
        <v>11</v>
      </c>
      <c r="C113" s="50">
        <v>44877</v>
      </c>
      <c r="D113" t="s">
        <v>49</v>
      </c>
      <c r="E113" t="s">
        <v>13</v>
      </c>
      <c r="F113">
        <v>3</v>
      </c>
      <c r="G113" s="2">
        <v>49.9</v>
      </c>
      <c r="H113" s="2">
        <v>0.15</v>
      </c>
      <c r="I113" s="2">
        <v>149.69999999999999</v>
      </c>
      <c r="J113" t="s">
        <v>118</v>
      </c>
    </row>
    <row r="114" spans="1:10">
      <c r="A114" t="s">
        <v>159</v>
      </c>
      <c r="B114">
        <f>MONTH(Vendas[[#This Row],[Data]])</f>
        <v>11</v>
      </c>
      <c r="C114" s="50">
        <v>44878</v>
      </c>
      <c r="D114" t="s">
        <v>58</v>
      </c>
      <c r="E114" t="s">
        <v>14</v>
      </c>
      <c r="F114">
        <v>3</v>
      </c>
      <c r="G114" s="2">
        <v>249.9</v>
      </c>
      <c r="H114" s="2">
        <v>0.1</v>
      </c>
      <c r="I114" s="2">
        <v>749.7</v>
      </c>
      <c r="J114" t="s">
        <v>117</v>
      </c>
    </row>
    <row r="115" spans="1:10">
      <c r="A115" t="s">
        <v>159</v>
      </c>
      <c r="B115">
        <f>MONTH(Vendas[[#This Row],[Data]])</f>
        <v>11</v>
      </c>
      <c r="C115" s="50">
        <v>44879</v>
      </c>
      <c r="D115" t="s">
        <v>44</v>
      </c>
      <c r="E115" t="s">
        <v>12</v>
      </c>
      <c r="F115">
        <v>2</v>
      </c>
      <c r="G115" s="2">
        <v>39.9</v>
      </c>
      <c r="H115" s="2">
        <v>0.15</v>
      </c>
      <c r="I115" s="2">
        <v>79.8</v>
      </c>
      <c r="J115" t="s">
        <v>116</v>
      </c>
    </row>
    <row r="116" spans="1:10">
      <c r="A116" t="s">
        <v>159</v>
      </c>
      <c r="B116">
        <f>MONTH(Vendas[[#This Row],[Data]])</f>
        <v>11</v>
      </c>
      <c r="C116" s="50">
        <v>44880</v>
      </c>
      <c r="D116" t="s">
        <v>102</v>
      </c>
      <c r="E116" t="s">
        <v>12</v>
      </c>
      <c r="F116">
        <v>2</v>
      </c>
      <c r="G116" s="2">
        <v>49.9</v>
      </c>
      <c r="H116" s="2">
        <v>0.15</v>
      </c>
      <c r="I116" s="2">
        <v>99.8</v>
      </c>
      <c r="J116" t="s">
        <v>116</v>
      </c>
    </row>
    <row r="117" spans="1:10">
      <c r="A117" t="s">
        <v>160</v>
      </c>
      <c r="B117">
        <f>MONTH(Vendas[[#This Row],[Data]])</f>
        <v>12</v>
      </c>
      <c r="C117" s="50">
        <v>44900</v>
      </c>
      <c r="D117" t="s">
        <v>91</v>
      </c>
      <c r="E117" t="s">
        <v>12</v>
      </c>
      <c r="F117">
        <v>7</v>
      </c>
      <c r="G117" s="2">
        <v>72.5</v>
      </c>
      <c r="H117" s="2">
        <v>0.2</v>
      </c>
      <c r="I117" s="2">
        <v>507.5</v>
      </c>
      <c r="J117" t="s">
        <v>118</v>
      </c>
    </row>
    <row r="118" spans="1:10">
      <c r="A118" t="s">
        <v>160</v>
      </c>
      <c r="B118">
        <f>MONTH(Vendas[[#This Row],[Data]])</f>
        <v>12</v>
      </c>
      <c r="C118" s="50">
        <v>44901</v>
      </c>
      <c r="D118" t="s">
        <v>46</v>
      </c>
      <c r="E118" t="s">
        <v>12</v>
      </c>
      <c r="F118">
        <v>5</v>
      </c>
      <c r="G118" s="2">
        <v>25.9</v>
      </c>
      <c r="H118" s="2">
        <v>0.1</v>
      </c>
      <c r="I118" s="2">
        <v>129.5</v>
      </c>
      <c r="J118" t="s">
        <v>117</v>
      </c>
    </row>
    <row r="119" spans="1:10">
      <c r="A119" t="s">
        <v>160</v>
      </c>
      <c r="B119">
        <f>MONTH(Vendas[[#This Row],[Data]])</f>
        <v>12</v>
      </c>
      <c r="C119" s="50">
        <v>44902</v>
      </c>
      <c r="D119" t="s">
        <v>62</v>
      </c>
      <c r="E119" t="s">
        <v>14</v>
      </c>
      <c r="F119">
        <v>6</v>
      </c>
      <c r="G119" s="2">
        <v>250</v>
      </c>
      <c r="H119" s="2">
        <v>0.15</v>
      </c>
      <c r="I119" s="2">
        <v>1500</v>
      </c>
      <c r="J119" t="s">
        <v>116</v>
      </c>
    </row>
    <row r="120" spans="1:10">
      <c r="A120" t="s">
        <v>160</v>
      </c>
      <c r="B120">
        <f>MONTH(Vendas[[#This Row],[Data]])</f>
        <v>12</v>
      </c>
      <c r="C120" s="50">
        <v>44903</v>
      </c>
      <c r="D120" t="s">
        <v>35</v>
      </c>
      <c r="E120" t="s">
        <v>13</v>
      </c>
      <c r="F120">
        <v>10</v>
      </c>
      <c r="G120" s="2">
        <v>259.89999999999998</v>
      </c>
      <c r="H120" s="2">
        <v>0.15</v>
      </c>
      <c r="I120" s="2">
        <v>2599</v>
      </c>
      <c r="J120" t="s">
        <v>119</v>
      </c>
    </row>
    <row r="121" spans="1:10">
      <c r="A121" t="s">
        <v>160</v>
      </c>
      <c r="B121">
        <f>MONTH(Vendas[[#This Row],[Data]])</f>
        <v>12</v>
      </c>
      <c r="C121" s="50">
        <v>44904</v>
      </c>
      <c r="D121" t="s">
        <v>92</v>
      </c>
      <c r="E121" t="s">
        <v>12</v>
      </c>
      <c r="F121">
        <v>3</v>
      </c>
      <c r="G121" s="2">
        <v>289.89999999999998</v>
      </c>
      <c r="H121" s="2">
        <v>0.2</v>
      </c>
      <c r="I121" s="2">
        <v>869.7</v>
      </c>
      <c r="J121" t="s">
        <v>115</v>
      </c>
    </row>
    <row r="122" spans="1:10">
      <c r="A122" t="s">
        <v>160</v>
      </c>
      <c r="B122">
        <f>MONTH(Vendas[[#This Row],[Data]])</f>
        <v>12</v>
      </c>
      <c r="C122" s="50">
        <v>44905</v>
      </c>
      <c r="D122" t="s">
        <v>51</v>
      </c>
      <c r="E122" t="s">
        <v>12</v>
      </c>
      <c r="F122">
        <v>4</v>
      </c>
      <c r="G122" s="2">
        <v>302.89999999999998</v>
      </c>
      <c r="H122" s="2">
        <v>0.15</v>
      </c>
      <c r="I122" s="2">
        <v>1211.5999999999999</v>
      </c>
      <c r="J122" t="s">
        <v>119</v>
      </c>
    </row>
    <row r="123" spans="1:10">
      <c r="A123" t="s">
        <v>160</v>
      </c>
      <c r="B123">
        <f>MONTH(Vendas[[#This Row],[Data]])</f>
        <v>12</v>
      </c>
      <c r="C123" s="50">
        <v>44906</v>
      </c>
      <c r="D123" t="s">
        <v>111</v>
      </c>
      <c r="E123" t="s">
        <v>12</v>
      </c>
      <c r="F123">
        <v>9</v>
      </c>
      <c r="G123" s="2">
        <v>180</v>
      </c>
      <c r="H123" s="2">
        <v>0.15</v>
      </c>
      <c r="I123" s="2">
        <v>1620</v>
      </c>
      <c r="J123" t="s">
        <v>119</v>
      </c>
    </row>
    <row r="124" spans="1:10">
      <c r="A124" t="s">
        <v>160</v>
      </c>
      <c r="B124">
        <f>MONTH(Vendas[[#This Row],[Data]])</f>
        <v>12</v>
      </c>
      <c r="C124" s="50">
        <v>44907</v>
      </c>
      <c r="D124" t="s">
        <v>31</v>
      </c>
      <c r="E124" t="s">
        <v>12</v>
      </c>
      <c r="F124">
        <v>5</v>
      </c>
      <c r="G124" s="2">
        <v>65.900000000000006</v>
      </c>
      <c r="H124" s="2">
        <v>0.15</v>
      </c>
      <c r="I124" s="2">
        <v>329.5</v>
      </c>
      <c r="J124" t="s">
        <v>116</v>
      </c>
    </row>
    <row r="125" spans="1:10">
      <c r="A125" t="s">
        <v>160</v>
      </c>
      <c r="B125">
        <f>MONTH(Vendas[[#This Row],[Data]])</f>
        <v>12</v>
      </c>
      <c r="C125" s="50">
        <v>44908</v>
      </c>
      <c r="D125" t="s">
        <v>42</v>
      </c>
      <c r="E125" t="s">
        <v>12</v>
      </c>
      <c r="F125">
        <v>10</v>
      </c>
      <c r="G125" s="2">
        <v>48.9</v>
      </c>
      <c r="H125" s="2">
        <v>0.1</v>
      </c>
      <c r="I125" s="2">
        <v>489</v>
      </c>
      <c r="J125" t="s">
        <v>117</v>
      </c>
    </row>
    <row r="126" spans="1:10">
      <c r="A126" t="s">
        <v>160</v>
      </c>
      <c r="B126">
        <f>MONTH(Vendas[[#This Row],[Data]])</f>
        <v>12</v>
      </c>
      <c r="C126" s="50">
        <v>44909</v>
      </c>
      <c r="D126" t="s">
        <v>92</v>
      </c>
      <c r="E126" t="s">
        <v>12</v>
      </c>
      <c r="F126">
        <v>2</v>
      </c>
      <c r="G126" s="2">
        <v>289.89999999999998</v>
      </c>
      <c r="H126" s="2">
        <v>0.15</v>
      </c>
      <c r="I126" s="2">
        <v>579.79999999999995</v>
      </c>
      <c r="J126" t="s">
        <v>116</v>
      </c>
    </row>
    <row r="127" spans="1:10">
      <c r="A127" t="s">
        <v>160</v>
      </c>
      <c r="B127">
        <f>MONTH(Vendas[[#This Row],[Data]])</f>
        <v>12</v>
      </c>
      <c r="C127" s="50">
        <v>44910</v>
      </c>
      <c r="D127" t="s">
        <v>64</v>
      </c>
      <c r="E127" t="s">
        <v>12</v>
      </c>
      <c r="F127">
        <v>2</v>
      </c>
      <c r="G127" s="2">
        <v>89.9</v>
      </c>
      <c r="H127" s="2">
        <v>0.15</v>
      </c>
      <c r="I127" s="2">
        <v>179.8</v>
      </c>
      <c r="J127" t="s">
        <v>118</v>
      </c>
    </row>
    <row r="128" spans="1:10">
      <c r="A128" t="s">
        <v>79</v>
      </c>
      <c r="B128">
        <f>MONTH(Vendas[[#This Row],[Data]])</f>
        <v>1</v>
      </c>
      <c r="C128" s="50">
        <v>44201</v>
      </c>
      <c r="D128" t="s">
        <v>108</v>
      </c>
      <c r="E128" t="s">
        <v>12</v>
      </c>
      <c r="F128">
        <v>11</v>
      </c>
      <c r="G128" s="2">
        <v>180</v>
      </c>
      <c r="H128" s="2">
        <v>0.2</v>
      </c>
      <c r="I128" s="2">
        <v>1980</v>
      </c>
      <c r="J128" t="s">
        <v>115</v>
      </c>
    </row>
    <row r="129" spans="1:10">
      <c r="A129" t="s">
        <v>79</v>
      </c>
      <c r="B129">
        <f>MONTH(Vendas[[#This Row],[Data]])</f>
        <v>1</v>
      </c>
      <c r="C129" s="50">
        <v>44202</v>
      </c>
      <c r="D129" t="s">
        <v>86</v>
      </c>
      <c r="E129" t="s">
        <v>12</v>
      </c>
      <c r="F129">
        <v>3</v>
      </c>
      <c r="G129" s="2">
        <v>54.9</v>
      </c>
      <c r="H129" s="2">
        <v>0.2</v>
      </c>
      <c r="I129" s="2">
        <v>164.7</v>
      </c>
      <c r="J129" t="s">
        <v>115</v>
      </c>
    </row>
    <row r="130" spans="1:10">
      <c r="A130" t="s">
        <v>79</v>
      </c>
      <c r="B130">
        <f>MONTH(Vendas[[#This Row],[Data]])</f>
        <v>1</v>
      </c>
      <c r="C130" s="50">
        <v>44203</v>
      </c>
      <c r="D130" t="s">
        <v>65</v>
      </c>
      <c r="E130" t="s">
        <v>12</v>
      </c>
      <c r="F130">
        <v>5</v>
      </c>
      <c r="G130" s="2">
        <v>91.4</v>
      </c>
      <c r="H130" s="2">
        <v>0.15</v>
      </c>
      <c r="I130" s="2">
        <v>457</v>
      </c>
      <c r="J130" t="s">
        <v>119</v>
      </c>
    </row>
    <row r="131" spans="1:10">
      <c r="A131" t="s">
        <v>79</v>
      </c>
      <c r="B131">
        <f>MONTH(Vendas[[#This Row],[Data]])</f>
        <v>1</v>
      </c>
      <c r="C131" s="50">
        <v>44208</v>
      </c>
      <c r="D131" t="s">
        <v>94</v>
      </c>
      <c r="E131" t="s">
        <v>12</v>
      </c>
      <c r="F131">
        <v>7</v>
      </c>
      <c r="G131" s="2">
        <v>289.89999999999998</v>
      </c>
      <c r="H131" s="2">
        <v>0.1</v>
      </c>
      <c r="I131" s="2">
        <v>2029.3</v>
      </c>
      <c r="J131" t="s">
        <v>117</v>
      </c>
    </row>
    <row r="132" spans="1:10">
      <c r="A132" t="s">
        <v>79</v>
      </c>
      <c r="B132">
        <f>MONTH(Vendas[[#This Row],[Data]])</f>
        <v>1</v>
      </c>
      <c r="C132" s="50">
        <v>44209</v>
      </c>
      <c r="D132" t="s">
        <v>42</v>
      </c>
      <c r="E132" t="s">
        <v>12</v>
      </c>
      <c r="F132">
        <v>5</v>
      </c>
      <c r="G132" s="2">
        <v>48.9</v>
      </c>
      <c r="H132" s="2">
        <v>0.2</v>
      </c>
      <c r="I132" s="2">
        <v>244.5</v>
      </c>
      <c r="J132" t="s">
        <v>118</v>
      </c>
    </row>
    <row r="133" spans="1:10">
      <c r="A133" t="s">
        <v>79</v>
      </c>
      <c r="B133">
        <f>MONTH(Vendas[[#This Row],[Data]])</f>
        <v>1</v>
      </c>
      <c r="C133" s="50">
        <v>44213</v>
      </c>
      <c r="D133" t="s">
        <v>35</v>
      </c>
      <c r="E133" t="s">
        <v>13</v>
      </c>
      <c r="F133">
        <v>11</v>
      </c>
      <c r="G133" s="2">
        <v>259.89999999999998</v>
      </c>
      <c r="H133" s="2">
        <v>0.2</v>
      </c>
      <c r="I133" s="2">
        <v>2858.9</v>
      </c>
      <c r="J133" t="s">
        <v>115</v>
      </c>
    </row>
    <row r="134" spans="1:10">
      <c r="A134" t="s">
        <v>79</v>
      </c>
      <c r="B134">
        <f>MONTH(Vendas[[#This Row],[Data]])</f>
        <v>1</v>
      </c>
      <c r="C134" s="50">
        <v>44219</v>
      </c>
      <c r="D134" t="s">
        <v>65</v>
      </c>
      <c r="E134" t="s">
        <v>12</v>
      </c>
      <c r="F134">
        <v>3</v>
      </c>
      <c r="G134" s="2">
        <v>91.4</v>
      </c>
      <c r="H134" s="2">
        <v>0.1</v>
      </c>
      <c r="I134" s="2">
        <v>274.2</v>
      </c>
      <c r="J134" t="s">
        <v>117</v>
      </c>
    </row>
    <row r="135" spans="1:10">
      <c r="A135" t="s">
        <v>79</v>
      </c>
      <c r="B135">
        <f>MONTH(Vendas[[#This Row],[Data]])</f>
        <v>1</v>
      </c>
      <c r="C135" s="50">
        <v>44222</v>
      </c>
      <c r="D135" t="s">
        <v>105</v>
      </c>
      <c r="E135" t="s">
        <v>14</v>
      </c>
      <c r="F135">
        <v>3</v>
      </c>
      <c r="G135" s="2">
        <v>89.9</v>
      </c>
      <c r="H135" s="2">
        <v>0.1</v>
      </c>
      <c r="I135" s="2">
        <v>269.7</v>
      </c>
      <c r="J135" t="s">
        <v>117</v>
      </c>
    </row>
    <row r="136" spans="1:10">
      <c r="A136" t="s">
        <v>79</v>
      </c>
      <c r="B136">
        <f>MONTH(Vendas[[#This Row],[Data]])</f>
        <v>1</v>
      </c>
      <c r="C136" s="50">
        <v>44224</v>
      </c>
      <c r="D136" t="s">
        <v>36</v>
      </c>
      <c r="E136" t="s">
        <v>13</v>
      </c>
      <c r="F136">
        <v>12</v>
      </c>
      <c r="G136" s="2">
        <v>39.9</v>
      </c>
      <c r="H136" s="2">
        <v>0.15</v>
      </c>
      <c r="I136" s="2">
        <v>478.8</v>
      </c>
      <c r="J136" t="s">
        <v>116</v>
      </c>
    </row>
    <row r="137" spans="1:10">
      <c r="A137" t="s">
        <v>79</v>
      </c>
      <c r="B137">
        <f>MONTH(Vendas[[#This Row],[Data]])</f>
        <v>1</v>
      </c>
      <c r="C137" s="50">
        <v>44225</v>
      </c>
      <c r="D137" t="s">
        <v>49</v>
      </c>
      <c r="E137" t="s">
        <v>13</v>
      </c>
      <c r="F137">
        <v>11</v>
      </c>
      <c r="G137" s="2">
        <v>49.9</v>
      </c>
      <c r="H137" s="2">
        <v>0.15</v>
      </c>
      <c r="I137" s="2">
        <v>548.9</v>
      </c>
      <c r="J137" t="s">
        <v>119</v>
      </c>
    </row>
    <row r="138" spans="1:10">
      <c r="A138" t="s">
        <v>79</v>
      </c>
      <c r="B138">
        <f>MONTH(Vendas[[#This Row],[Data]])</f>
        <v>1</v>
      </c>
      <c r="C138" s="50">
        <v>44226</v>
      </c>
      <c r="D138" t="s">
        <v>54</v>
      </c>
      <c r="E138" t="s">
        <v>12</v>
      </c>
      <c r="F138">
        <v>3</v>
      </c>
      <c r="G138" s="2">
        <v>259.89999999999998</v>
      </c>
      <c r="H138" s="2">
        <v>0.2</v>
      </c>
      <c r="I138" s="2">
        <v>779.7</v>
      </c>
      <c r="J138" t="s">
        <v>118</v>
      </c>
    </row>
    <row r="139" spans="1:10">
      <c r="A139" t="s">
        <v>80</v>
      </c>
      <c r="B139">
        <f>MONTH(Vendas[[#This Row],[Data]])</f>
        <v>2</v>
      </c>
      <c r="C139" s="50">
        <v>44230</v>
      </c>
      <c r="D139" t="s">
        <v>44</v>
      </c>
      <c r="E139" t="s">
        <v>12</v>
      </c>
      <c r="F139">
        <v>10</v>
      </c>
      <c r="G139" s="2">
        <v>39.9</v>
      </c>
      <c r="H139" s="2">
        <v>0.15</v>
      </c>
      <c r="I139" s="2">
        <v>399</v>
      </c>
      <c r="J139" t="s">
        <v>116</v>
      </c>
    </row>
    <row r="140" spans="1:10">
      <c r="A140" t="s">
        <v>80</v>
      </c>
      <c r="B140">
        <f>MONTH(Vendas[[#This Row],[Data]])</f>
        <v>2</v>
      </c>
      <c r="C140" s="50">
        <v>44232</v>
      </c>
      <c r="D140" t="s">
        <v>53</v>
      </c>
      <c r="E140" t="s">
        <v>12</v>
      </c>
      <c r="F140">
        <v>1</v>
      </c>
      <c r="G140" s="2">
        <v>249.9</v>
      </c>
      <c r="H140" s="2">
        <v>0.1</v>
      </c>
      <c r="I140" s="2">
        <v>249.9</v>
      </c>
      <c r="J140" t="s">
        <v>118</v>
      </c>
    </row>
    <row r="141" spans="1:10">
      <c r="A141" t="s">
        <v>80</v>
      </c>
      <c r="B141">
        <f>MONTH(Vendas[[#This Row],[Data]])</f>
        <v>2</v>
      </c>
      <c r="C141" s="50">
        <v>44245</v>
      </c>
      <c r="D141" t="s">
        <v>42</v>
      </c>
      <c r="E141" t="s">
        <v>12</v>
      </c>
      <c r="F141">
        <v>6</v>
      </c>
      <c r="G141" s="2">
        <v>48.9</v>
      </c>
      <c r="H141" s="2">
        <v>0.15</v>
      </c>
      <c r="I141" s="2">
        <v>293.39999999999998</v>
      </c>
      <c r="J141" t="s">
        <v>119</v>
      </c>
    </row>
    <row r="142" spans="1:10">
      <c r="A142" t="s">
        <v>80</v>
      </c>
      <c r="B142">
        <f>MONTH(Vendas[[#This Row],[Data]])</f>
        <v>2</v>
      </c>
      <c r="C142" s="50">
        <v>44248</v>
      </c>
      <c r="D142" t="s">
        <v>50</v>
      </c>
      <c r="E142" t="s">
        <v>12</v>
      </c>
      <c r="F142">
        <v>6</v>
      </c>
      <c r="G142" s="2">
        <v>299.89999999999998</v>
      </c>
      <c r="H142" s="2">
        <v>0.2</v>
      </c>
      <c r="I142" s="2">
        <v>1799.4</v>
      </c>
      <c r="J142" t="s">
        <v>118</v>
      </c>
    </row>
    <row r="143" spans="1:10">
      <c r="A143" t="s">
        <v>80</v>
      </c>
      <c r="B143">
        <f>MONTH(Vendas[[#This Row],[Data]])</f>
        <v>2</v>
      </c>
      <c r="C143" s="50">
        <v>44251</v>
      </c>
      <c r="D143" t="s">
        <v>46</v>
      </c>
      <c r="E143" t="s">
        <v>12</v>
      </c>
      <c r="F143">
        <v>9</v>
      </c>
      <c r="G143" s="2">
        <v>25.9</v>
      </c>
      <c r="H143" s="2">
        <v>0.2</v>
      </c>
      <c r="I143" s="2">
        <v>233.1</v>
      </c>
      <c r="J143" t="s">
        <v>118</v>
      </c>
    </row>
    <row r="144" spans="1:10">
      <c r="A144" t="s">
        <v>80</v>
      </c>
      <c r="B144">
        <f>MONTH(Vendas[[#This Row],[Data]])</f>
        <v>2</v>
      </c>
      <c r="C144" s="50">
        <v>44252</v>
      </c>
      <c r="D144" t="s">
        <v>99</v>
      </c>
      <c r="E144" t="s">
        <v>12</v>
      </c>
      <c r="F144">
        <v>8</v>
      </c>
      <c r="G144" s="2">
        <v>32.9</v>
      </c>
      <c r="H144" s="2">
        <v>0.2</v>
      </c>
      <c r="I144" s="2">
        <v>263.2</v>
      </c>
      <c r="J144" t="s">
        <v>118</v>
      </c>
    </row>
    <row r="145" spans="1:10">
      <c r="A145" t="s">
        <v>80</v>
      </c>
      <c r="B145">
        <f>MONTH(Vendas[[#This Row],[Data]])</f>
        <v>2</v>
      </c>
      <c r="C145" s="50">
        <v>44253</v>
      </c>
      <c r="D145" t="s">
        <v>43</v>
      </c>
      <c r="E145" t="s">
        <v>12</v>
      </c>
      <c r="F145">
        <v>9</v>
      </c>
      <c r="G145" s="2">
        <v>39.9</v>
      </c>
      <c r="H145" s="2">
        <v>0.15</v>
      </c>
      <c r="I145" s="2">
        <v>359.1</v>
      </c>
      <c r="J145" t="s">
        <v>119</v>
      </c>
    </row>
    <row r="146" spans="1:10">
      <c r="A146" t="s">
        <v>81</v>
      </c>
      <c r="B146">
        <f>MONTH(Vendas[[#This Row],[Data]])</f>
        <v>3</v>
      </c>
      <c r="C146" s="50">
        <v>44256</v>
      </c>
      <c r="D146" t="s">
        <v>32</v>
      </c>
      <c r="E146" t="s">
        <v>12</v>
      </c>
      <c r="F146">
        <v>9</v>
      </c>
      <c r="G146" s="2">
        <v>69.900000000000006</v>
      </c>
      <c r="H146" s="2">
        <v>0.15</v>
      </c>
      <c r="I146" s="2">
        <v>629.1</v>
      </c>
      <c r="J146" t="s">
        <v>116</v>
      </c>
    </row>
    <row r="147" spans="1:10">
      <c r="A147" t="s">
        <v>81</v>
      </c>
      <c r="B147">
        <f>MONTH(Vendas[[#This Row],[Data]])</f>
        <v>3</v>
      </c>
      <c r="C147" s="50">
        <v>44256</v>
      </c>
      <c r="D147" t="s">
        <v>35</v>
      </c>
      <c r="E147" t="s">
        <v>13</v>
      </c>
      <c r="F147">
        <v>1</v>
      </c>
      <c r="G147" s="2">
        <v>259.89999999999998</v>
      </c>
      <c r="H147" s="2">
        <v>0</v>
      </c>
      <c r="I147" s="2">
        <v>259.89999999999998</v>
      </c>
      <c r="J147" t="s">
        <v>118</v>
      </c>
    </row>
    <row r="148" spans="1:10">
      <c r="A148" t="s">
        <v>81</v>
      </c>
      <c r="B148">
        <f>MONTH(Vendas[[#This Row],[Data]])</f>
        <v>3</v>
      </c>
      <c r="C148" s="50">
        <v>44257</v>
      </c>
      <c r="D148" t="s">
        <v>37</v>
      </c>
      <c r="E148" t="s">
        <v>12</v>
      </c>
      <c r="F148">
        <v>1</v>
      </c>
      <c r="G148" s="2">
        <v>85.9</v>
      </c>
      <c r="H148" s="2">
        <v>0.1</v>
      </c>
      <c r="I148" s="2">
        <v>85.9</v>
      </c>
      <c r="J148" t="s">
        <v>117</v>
      </c>
    </row>
    <row r="149" spans="1:10">
      <c r="A149" t="s">
        <v>81</v>
      </c>
      <c r="B149">
        <f>MONTH(Vendas[[#This Row],[Data]])</f>
        <v>3</v>
      </c>
      <c r="C149" s="50">
        <v>44258</v>
      </c>
      <c r="D149" t="s">
        <v>102</v>
      </c>
      <c r="E149" t="s">
        <v>12</v>
      </c>
      <c r="F149">
        <v>7</v>
      </c>
      <c r="G149" s="2">
        <v>49.9</v>
      </c>
      <c r="H149" s="2">
        <v>0.2</v>
      </c>
      <c r="I149" s="2">
        <v>349.3</v>
      </c>
      <c r="J149" t="s">
        <v>115</v>
      </c>
    </row>
    <row r="150" spans="1:10">
      <c r="A150" t="s">
        <v>81</v>
      </c>
      <c r="B150">
        <f>MONTH(Vendas[[#This Row],[Data]])</f>
        <v>3</v>
      </c>
      <c r="C150" s="50">
        <v>44259</v>
      </c>
      <c r="D150" t="s">
        <v>43</v>
      </c>
      <c r="E150" t="s">
        <v>12</v>
      </c>
      <c r="F150">
        <v>4</v>
      </c>
      <c r="G150" s="2">
        <v>39.9</v>
      </c>
      <c r="H150" s="2">
        <v>0.1</v>
      </c>
      <c r="I150" s="2">
        <v>159.6</v>
      </c>
      <c r="J150" t="s">
        <v>117</v>
      </c>
    </row>
    <row r="151" spans="1:10">
      <c r="A151" t="s">
        <v>81</v>
      </c>
      <c r="B151">
        <f>MONTH(Vendas[[#This Row],[Data]])</f>
        <v>3</v>
      </c>
      <c r="C151" s="50">
        <v>44264</v>
      </c>
      <c r="D151" t="s">
        <v>99</v>
      </c>
      <c r="E151" t="s">
        <v>12</v>
      </c>
      <c r="F151">
        <v>5</v>
      </c>
      <c r="G151" s="2">
        <v>32.9</v>
      </c>
      <c r="H151" s="2">
        <v>0.2</v>
      </c>
      <c r="I151" s="2">
        <v>164.5</v>
      </c>
      <c r="J151" t="s">
        <v>115</v>
      </c>
    </row>
    <row r="152" spans="1:10">
      <c r="A152" t="s">
        <v>81</v>
      </c>
      <c r="B152">
        <f>MONTH(Vendas[[#This Row],[Data]])</f>
        <v>3</v>
      </c>
      <c r="C152" s="50">
        <v>44269</v>
      </c>
      <c r="D152" t="s">
        <v>39</v>
      </c>
      <c r="E152" t="s">
        <v>12</v>
      </c>
      <c r="F152">
        <v>8</v>
      </c>
      <c r="G152" s="2">
        <v>92.9</v>
      </c>
      <c r="H152" s="2">
        <v>0.2</v>
      </c>
      <c r="I152" s="2">
        <v>743.2</v>
      </c>
      <c r="J152" t="s">
        <v>115</v>
      </c>
    </row>
    <row r="153" spans="1:10">
      <c r="A153" t="s">
        <v>81</v>
      </c>
      <c r="B153">
        <f>MONTH(Vendas[[#This Row],[Data]])</f>
        <v>3</v>
      </c>
      <c r="C153" s="50">
        <v>44274</v>
      </c>
      <c r="D153" t="s">
        <v>43</v>
      </c>
      <c r="E153" t="s">
        <v>12</v>
      </c>
      <c r="F153">
        <v>9</v>
      </c>
      <c r="G153" s="2">
        <v>39.9</v>
      </c>
      <c r="H153" s="2">
        <v>0.2</v>
      </c>
      <c r="I153" s="2">
        <v>359.1</v>
      </c>
      <c r="J153" t="s">
        <v>118</v>
      </c>
    </row>
    <row r="154" spans="1:10">
      <c r="A154" t="s">
        <v>81</v>
      </c>
      <c r="B154">
        <f>MONTH(Vendas[[#This Row],[Data]])</f>
        <v>3</v>
      </c>
      <c r="C154" s="50">
        <v>44276</v>
      </c>
      <c r="D154" t="s">
        <v>42</v>
      </c>
      <c r="E154" t="s">
        <v>12</v>
      </c>
      <c r="F154">
        <v>9</v>
      </c>
      <c r="G154" s="2">
        <v>48.9</v>
      </c>
      <c r="H154" s="2">
        <v>0.1</v>
      </c>
      <c r="I154" s="2">
        <v>440.1</v>
      </c>
      <c r="J154" t="s">
        <v>117</v>
      </c>
    </row>
    <row r="155" spans="1:10">
      <c r="A155" t="s">
        <v>81</v>
      </c>
      <c r="B155">
        <f>MONTH(Vendas[[#This Row],[Data]])</f>
        <v>3</v>
      </c>
      <c r="C155" s="50">
        <v>44280</v>
      </c>
      <c r="D155" t="s">
        <v>53</v>
      </c>
      <c r="E155" t="s">
        <v>12</v>
      </c>
      <c r="F155">
        <v>1</v>
      </c>
      <c r="G155" s="2">
        <v>249.9</v>
      </c>
      <c r="H155" s="2">
        <v>0.1</v>
      </c>
      <c r="I155" s="2">
        <v>249.9</v>
      </c>
      <c r="J155" t="s">
        <v>119</v>
      </c>
    </row>
    <row r="156" spans="1:10">
      <c r="A156" t="s">
        <v>82</v>
      </c>
      <c r="B156">
        <f>MONTH(Vendas[[#This Row],[Data]])</f>
        <v>4</v>
      </c>
      <c r="C156" s="50">
        <v>44288</v>
      </c>
      <c r="D156" t="s">
        <v>53</v>
      </c>
      <c r="E156" t="s">
        <v>12</v>
      </c>
      <c r="F156">
        <v>10</v>
      </c>
      <c r="G156" s="2">
        <v>249.9</v>
      </c>
      <c r="H156" s="2">
        <v>0.15</v>
      </c>
      <c r="I156" s="2">
        <v>2499</v>
      </c>
      <c r="J156" t="s">
        <v>116</v>
      </c>
    </row>
    <row r="157" spans="1:10">
      <c r="A157" t="s">
        <v>82</v>
      </c>
      <c r="B157">
        <f>MONTH(Vendas[[#This Row],[Data]])</f>
        <v>4</v>
      </c>
      <c r="C157" s="50">
        <v>44290</v>
      </c>
      <c r="D157" t="s">
        <v>47</v>
      </c>
      <c r="E157" t="s">
        <v>12</v>
      </c>
      <c r="F157">
        <v>4</v>
      </c>
      <c r="G157" s="2">
        <v>29.9</v>
      </c>
      <c r="H157" s="2">
        <v>0.15</v>
      </c>
      <c r="I157" s="2">
        <v>119.6</v>
      </c>
      <c r="J157" t="s">
        <v>119</v>
      </c>
    </row>
    <row r="158" spans="1:10">
      <c r="A158" t="s">
        <v>82</v>
      </c>
      <c r="B158">
        <f>MONTH(Vendas[[#This Row],[Data]])</f>
        <v>4</v>
      </c>
      <c r="C158" s="50">
        <v>44294</v>
      </c>
      <c r="D158" t="s">
        <v>88</v>
      </c>
      <c r="E158" t="s">
        <v>12</v>
      </c>
      <c r="F158">
        <v>1</v>
      </c>
      <c r="G158" s="2">
        <v>72.5</v>
      </c>
      <c r="H158" s="2">
        <v>0.1</v>
      </c>
      <c r="I158" s="2">
        <v>72.5</v>
      </c>
      <c r="J158" t="s">
        <v>116</v>
      </c>
    </row>
    <row r="159" spans="1:10">
      <c r="A159" t="s">
        <v>82</v>
      </c>
      <c r="B159">
        <f>MONTH(Vendas[[#This Row],[Data]])</f>
        <v>4</v>
      </c>
      <c r="C159" s="50">
        <v>44297</v>
      </c>
      <c r="D159" t="s">
        <v>69</v>
      </c>
      <c r="E159" t="s">
        <v>12</v>
      </c>
      <c r="F159">
        <v>10</v>
      </c>
      <c r="G159" s="2">
        <v>146</v>
      </c>
      <c r="H159" s="2">
        <v>0.15</v>
      </c>
      <c r="I159" s="2">
        <v>1460</v>
      </c>
      <c r="J159" t="s">
        <v>119</v>
      </c>
    </row>
    <row r="160" spans="1:10">
      <c r="A160" t="s">
        <v>82</v>
      </c>
      <c r="B160">
        <f>MONTH(Vendas[[#This Row],[Data]])</f>
        <v>4</v>
      </c>
      <c r="C160" s="50">
        <v>44298</v>
      </c>
      <c r="D160" t="s">
        <v>33</v>
      </c>
      <c r="E160" t="s">
        <v>12</v>
      </c>
      <c r="F160">
        <v>5</v>
      </c>
      <c r="G160" s="2">
        <v>70.900000000000006</v>
      </c>
      <c r="H160" s="2">
        <v>0.15</v>
      </c>
      <c r="I160" s="2">
        <v>354.5</v>
      </c>
      <c r="J160" t="s">
        <v>116</v>
      </c>
    </row>
    <row r="161" spans="1:10">
      <c r="A161" t="s">
        <v>82</v>
      </c>
      <c r="B161">
        <f>MONTH(Vendas[[#This Row],[Data]])</f>
        <v>4</v>
      </c>
      <c r="C161" s="50">
        <v>44299</v>
      </c>
      <c r="D161" t="s">
        <v>104</v>
      </c>
      <c r="E161" t="s">
        <v>14</v>
      </c>
      <c r="F161">
        <v>11</v>
      </c>
      <c r="G161" s="2">
        <v>89.9</v>
      </c>
      <c r="H161" s="2">
        <v>0.2</v>
      </c>
      <c r="I161" s="2">
        <v>988.9</v>
      </c>
      <c r="J161" t="s">
        <v>115</v>
      </c>
    </row>
    <row r="162" spans="1:10">
      <c r="A162" t="s">
        <v>82</v>
      </c>
      <c r="B162">
        <f>MONTH(Vendas[[#This Row],[Data]])</f>
        <v>4</v>
      </c>
      <c r="C162" s="50">
        <v>44301</v>
      </c>
      <c r="D162" t="s">
        <v>37</v>
      </c>
      <c r="E162" t="s">
        <v>12</v>
      </c>
      <c r="F162">
        <v>6</v>
      </c>
      <c r="G162" s="2">
        <v>85.9</v>
      </c>
      <c r="H162" s="2">
        <v>0.15</v>
      </c>
      <c r="I162" s="2">
        <v>515.4</v>
      </c>
      <c r="J162" t="s">
        <v>119</v>
      </c>
    </row>
    <row r="163" spans="1:10">
      <c r="A163" t="s">
        <v>82</v>
      </c>
      <c r="B163">
        <f>MONTH(Vendas[[#This Row],[Data]])</f>
        <v>4</v>
      </c>
      <c r="C163" s="50">
        <v>44308</v>
      </c>
      <c r="D163" t="s">
        <v>67</v>
      </c>
      <c r="E163" t="s">
        <v>12</v>
      </c>
      <c r="F163">
        <v>2</v>
      </c>
      <c r="G163" s="2">
        <v>140</v>
      </c>
      <c r="H163" s="2">
        <v>0.1</v>
      </c>
      <c r="I163" s="2">
        <v>280</v>
      </c>
      <c r="J163" t="s">
        <v>117</v>
      </c>
    </row>
    <row r="164" spans="1:10">
      <c r="A164" t="s">
        <v>82</v>
      </c>
      <c r="B164">
        <f>MONTH(Vendas[[#This Row],[Data]])</f>
        <v>4</v>
      </c>
      <c r="C164" s="50">
        <v>44309</v>
      </c>
      <c r="D164" t="s">
        <v>90</v>
      </c>
      <c r="E164" t="s">
        <v>12</v>
      </c>
      <c r="F164">
        <v>7</v>
      </c>
      <c r="G164" s="2">
        <v>72.5</v>
      </c>
      <c r="H164" s="2">
        <v>0.15</v>
      </c>
      <c r="I164" s="2">
        <v>507.5</v>
      </c>
      <c r="J164" t="s">
        <v>116</v>
      </c>
    </row>
    <row r="165" spans="1:10">
      <c r="A165" t="s">
        <v>82</v>
      </c>
      <c r="B165">
        <f>MONTH(Vendas[[#This Row],[Data]])</f>
        <v>4</v>
      </c>
      <c r="C165" s="50">
        <v>44312</v>
      </c>
      <c r="D165" t="s">
        <v>102</v>
      </c>
      <c r="E165" t="s">
        <v>12</v>
      </c>
      <c r="F165">
        <v>12</v>
      </c>
      <c r="G165" s="2">
        <v>49.9</v>
      </c>
      <c r="H165" s="2">
        <v>0.15</v>
      </c>
      <c r="I165" s="2">
        <v>598.79999999999995</v>
      </c>
      <c r="J165" t="s">
        <v>116</v>
      </c>
    </row>
    <row r="166" spans="1:10">
      <c r="A166" t="s">
        <v>82</v>
      </c>
      <c r="B166">
        <f>MONTH(Vendas[[#This Row],[Data]])</f>
        <v>4</v>
      </c>
      <c r="C166" s="50">
        <v>44313</v>
      </c>
      <c r="D166" t="s">
        <v>43</v>
      </c>
      <c r="E166" t="s">
        <v>12</v>
      </c>
      <c r="F166">
        <v>7</v>
      </c>
      <c r="G166" s="2">
        <v>39.9</v>
      </c>
      <c r="H166" s="2">
        <v>0.15</v>
      </c>
      <c r="I166" s="2">
        <v>279.3</v>
      </c>
      <c r="J166" t="s">
        <v>119</v>
      </c>
    </row>
    <row r="167" spans="1:10">
      <c r="A167" t="s">
        <v>83</v>
      </c>
      <c r="B167">
        <f>MONTH(Vendas[[#This Row],[Data]])</f>
        <v>5</v>
      </c>
      <c r="C167" s="50">
        <v>44324</v>
      </c>
      <c r="D167" t="s">
        <v>103</v>
      </c>
      <c r="E167" t="s">
        <v>12</v>
      </c>
      <c r="F167">
        <v>6</v>
      </c>
      <c r="G167" s="2">
        <v>49.9</v>
      </c>
      <c r="H167" s="2">
        <v>0.15</v>
      </c>
      <c r="I167" s="2">
        <v>299.39999999999998</v>
      </c>
      <c r="J167" t="s">
        <v>116</v>
      </c>
    </row>
    <row r="168" spans="1:10">
      <c r="A168" t="s">
        <v>83</v>
      </c>
      <c r="B168">
        <f>MONTH(Vendas[[#This Row],[Data]])</f>
        <v>5</v>
      </c>
      <c r="C168" s="50">
        <v>44325</v>
      </c>
      <c r="D168" t="s">
        <v>65</v>
      </c>
      <c r="E168" t="s">
        <v>12</v>
      </c>
      <c r="F168">
        <v>11</v>
      </c>
      <c r="G168" s="2">
        <v>91.4</v>
      </c>
      <c r="H168" s="2">
        <v>0.2</v>
      </c>
      <c r="I168" s="2">
        <v>1005.4</v>
      </c>
      <c r="J168" t="s">
        <v>118</v>
      </c>
    </row>
    <row r="169" spans="1:10">
      <c r="A169" t="s">
        <v>83</v>
      </c>
      <c r="B169">
        <f>MONTH(Vendas[[#This Row],[Data]])</f>
        <v>5</v>
      </c>
      <c r="C169" s="50">
        <v>44326</v>
      </c>
      <c r="D169" t="s">
        <v>35</v>
      </c>
      <c r="E169" t="s">
        <v>13</v>
      </c>
      <c r="F169">
        <v>11</v>
      </c>
      <c r="G169" s="2">
        <v>259.89999999999998</v>
      </c>
      <c r="H169" s="2">
        <v>0.2</v>
      </c>
      <c r="I169" s="2">
        <v>2858.9</v>
      </c>
      <c r="J169" t="s">
        <v>118</v>
      </c>
    </row>
    <row r="170" spans="1:10">
      <c r="A170" t="s">
        <v>83</v>
      </c>
      <c r="B170">
        <f>MONTH(Vendas[[#This Row],[Data]])</f>
        <v>5</v>
      </c>
      <c r="C170" s="50">
        <v>44327</v>
      </c>
      <c r="D170" t="s">
        <v>69</v>
      </c>
      <c r="E170" t="s">
        <v>12</v>
      </c>
      <c r="F170">
        <v>3</v>
      </c>
      <c r="G170" s="2">
        <v>146</v>
      </c>
      <c r="H170" s="2">
        <v>0.15</v>
      </c>
      <c r="I170" s="2">
        <v>438</v>
      </c>
      <c r="J170" t="s">
        <v>119</v>
      </c>
    </row>
    <row r="171" spans="1:10">
      <c r="A171" t="s">
        <v>83</v>
      </c>
      <c r="B171">
        <f>MONTH(Vendas[[#This Row],[Data]])</f>
        <v>5</v>
      </c>
      <c r="C171" s="50">
        <v>44328</v>
      </c>
      <c r="D171" t="s">
        <v>96</v>
      </c>
      <c r="E171" t="s">
        <v>12</v>
      </c>
      <c r="F171">
        <v>8</v>
      </c>
      <c r="G171" s="2">
        <v>32.9</v>
      </c>
      <c r="H171" s="2">
        <v>0.15</v>
      </c>
      <c r="I171" s="2">
        <v>263.2</v>
      </c>
      <c r="J171" t="s">
        <v>119</v>
      </c>
    </row>
    <row r="172" spans="1:10">
      <c r="A172" t="s">
        <v>83</v>
      </c>
      <c r="B172">
        <f>MONTH(Vendas[[#This Row],[Data]])</f>
        <v>5</v>
      </c>
      <c r="C172" s="50">
        <v>44331</v>
      </c>
      <c r="D172" t="s">
        <v>55</v>
      </c>
      <c r="E172" t="s">
        <v>12</v>
      </c>
      <c r="F172">
        <v>11</v>
      </c>
      <c r="G172" s="2">
        <v>299.89999999999998</v>
      </c>
      <c r="H172" s="2">
        <v>0.15</v>
      </c>
      <c r="I172" s="2">
        <v>3298.9</v>
      </c>
      <c r="J172" t="s">
        <v>116</v>
      </c>
    </row>
    <row r="173" spans="1:10">
      <c r="A173" t="s">
        <v>83</v>
      </c>
      <c r="B173">
        <f>MONTH(Vendas[[#This Row],[Data]])</f>
        <v>5</v>
      </c>
      <c r="C173" s="50">
        <v>44334</v>
      </c>
      <c r="D173" t="s">
        <v>61</v>
      </c>
      <c r="E173" t="s">
        <v>14</v>
      </c>
      <c r="F173">
        <v>8</v>
      </c>
      <c r="G173" s="2">
        <v>245</v>
      </c>
      <c r="H173" s="2">
        <v>0.2</v>
      </c>
      <c r="I173" s="2">
        <v>1960</v>
      </c>
      <c r="J173" t="s">
        <v>118</v>
      </c>
    </row>
    <row r="174" spans="1:10">
      <c r="A174" t="s">
        <v>84</v>
      </c>
      <c r="B174">
        <f>MONTH(Vendas[[#This Row],[Data]])</f>
        <v>6</v>
      </c>
      <c r="C174" s="50">
        <v>44354</v>
      </c>
      <c r="D174" t="s">
        <v>62</v>
      </c>
      <c r="E174" t="s">
        <v>14</v>
      </c>
      <c r="F174">
        <v>6</v>
      </c>
      <c r="G174" s="2">
        <v>250</v>
      </c>
      <c r="H174" s="2">
        <v>0.15</v>
      </c>
      <c r="I174" s="2">
        <v>1500</v>
      </c>
      <c r="J174" t="s">
        <v>116</v>
      </c>
    </row>
    <row r="175" spans="1:10">
      <c r="A175" t="s">
        <v>84</v>
      </c>
      <c r="B175">
        <f>MONTH(Vendas[[#This Row],[Data]])</f>
        <v>6</v>
      </c>
      <c r="C175" s="50">
        <v>44354</v>
      </c>
      <c r="D175" t="s">
        <v>41</v>
      </c>
      <c r="E175" t="s">
        <v>12</v>
      </c>
      <c r="F175">
        <v>2</v>
      </c>
      <c r="G175" s="2">
        <v>46.9</v>
      </c>
      <c r="H175" s="2">
        <v>0.15</v>
      </c>
      <c r="I175" s="2">
        <v>93.8</v>
      </c>
      <c r="J175" t="s">
        <v>115</v>
      </c>
    </row>
    <row r="176" spans="1:10">
      <c r="A176" t="s">
        <v>84</v>
      </c>
      <c r="B176">
        <f>MONTH(Vendas[[#This Row],[Data]])</f>
        <v>6</v>
      </c>
      <c r="C176" s="50">
        <v>44356</v>
      </c>
      <c r="D176" t="s">
        <v>67</v>
      </c>
      <c r="E176" t="s">
        <v>12</v>
      </c>
      <c r="F176">
        <v>1</v>
      </c>
      <c r="G176" s="2">
        <v>140</v>
      </c>
      <c r="H176" s="2">
        <v>0.1</v>
      </c>
      <c r="I176" s="2">
        <v>140</v>
      </c>
      <c r="J176" t="s">
        <v>118</v>
      </c>
    </row>
    <row r="177" spans="1:10">
      <c r="A177" t="s">
        <v>84</v>
      </c>
      <c r="B177">
        <f>MONTH(Vendas[[#This Row],[Data]])</f>
        <v>6</v>
      </c>
      <c r="C177" s="50">
        <v>44356</v>
      </c>
      <c r="D177" t="s">
        <v>103</v>
      </c>
      <c r="E177" t="s">
        <v>12</v>
      </c>
      <c r="F177">
        <v>1</v>
      </c>
      <c r="G177" s="2">
        <v>49.9</v>
      </c>
      <c r="H177" s="2">
        <v>0.1</v>
      </c>
      <c r="I177" s="2">
        <v>49.9</v>
      </c>
      <c r="J177" t="s">
        <v>118</v>
      </c>
    </row>
    <row r="178" spans="1:10">
      <c r="A178" t="s">
        <v>84</v>
      </c>
      <c r="B178">
        <f>MONTH(Vendas[[#This Row],[Data]])</f>
        <v>6</v>
      </c>
      <c r="C178" s="50">
        <v>44358</v>
      </c>
      <c r="D178" t="s">
        <v>105</v>
      </c>
      <c r="E178" t="s">
        <v>14</v>
      </c>
      <c r="F178">
        <v>5</v>
      </c>
      <c r="G178" s="2">
        <v>89.9</v>
      </c>
      <c r="H178" s="2">
        <v>0.15</v>
      </c>
      <c r="I178" s="2">
        <v>449.5</v>
      </c>
      <c r="J178" t="s">
        <v>116</v>
      </c>
    </row>
    <row r="179" spans="1:10">
      <c r="A179" t="s">
        <v>84</v>
      </c>
      <c r="B179">
        <f>MONTH(Vendas[[#This Row],[Data]])</f>
        <v>6</v>
      </c>
      <c r="C179" s="50">
        <v>44360</v>
      </c>
      <c r="D179" t="s">
        <v>65</v>
      </c>
      <c r="E179" t="s">
        <v>12</v>
      </c>
      <c r="F179">
        <v>11</v>
      </c>
      <c r="G179" s="2">
        <v>91.4</v>
      </c>
      <c r="H179" s="2">
        <v>0.15</v>
      </c>
      <c r="I179" s="2">
        <v>1005.4</v>
      </c>
      <c r="J179" t="s">
        <v>116</v>
      </c>
    </row>
    <row r="180" spans="1:10">
      <c r="A180" t="s">
        <v>84</v>
      </c>
      <c r="B180">
        <f>MONTH(Vendas[[#This Row],[Data]])</f>
        <v>6</v>
      </c>
      <c r="C180" s="50">
        <v>44363</v>
      </c>
      <c r="D180" t="s">
        <v>47</v>
      </c>
      <c r="E180" t="s">
        <v>12</v>
      </c>
      <c r="F180">
        <v>11</v>
      </c>
      <c r="G180" s="2">
        <v>29.9</v>
      </c>
      <c r="H180" s="2">
        <v>0.2</v>
      </c>
      <c r="I180" s="2">
        <v>328.9</v>
      </c>
      <c r="J180" t="s">
        <v>118</v>
      </c>
    </row>
    <row r="181" spans="1:10">
      <c r="A181" t="s">
        <v>84</v>
      </c>
      <c r="B181">
        <f>MONTH(Vendas[[#This Row],[Data]])</f>
        <v>6</v>
      </c>
      <c r="C181" s="50">
        <v>44363</v>
      </c>
      <c r="D181" t="s">
        <v>100</v>
      </c>
      <c r="E181" t="s">
        <v>12</v>
      </c>
      <c r="F181">
        <v>12</v>
      </c>
      <c r="G181" s="2">
        <v>49.9</v>
      </c>
      <c r="H181" s="2">
        <v>0.15</v>
      </c>
      <c r="I181" s="2">
        <v>598.79999999999995</v>
      </c>
      <c r="J181" t="s">
        <v>116</v>
      </c>
    </row>
    <row r="182" spans="1:10">
      <c r="A182" t="s">
        <v>84</v>
      </c>
      <c r="B182">
        <f>MONTH(Vendas[[#This Row],[Data]])</f>
        <v>6</v>
      </c>
      <c r="C182" s="50">
        <v>44364</v>
      </c>
      <c r="D182" t="s">
        <v>56</v>
      </c>
      <c r="E182" t="s">
        <v>13</v>
      </c>
      <c r="F182">
        <v>9</v>
      </c>
      <c r="G182" s="2">
        <v>349.9</v>
      </c>
      <c r="H182" s="2">
        <v>0.2</v>
      </c>
      <c r="I182" s="2">
        <v>3149.1</v>
      </c>
      <c r="J182" t="s">
        <v>115</v>
      </c>
    </row>
    <row r="183" spans="1:10">
      <c r="A183" t="s">
        <v>84</v>
      </c>
      <c r="B183">
        <f>MONTH(Vendas[[#This Row],[Data]])</f>
        <v>6</v>
      </c>
      <c r="C183" s="50">
        <v>44367</v>
      </c>
      <c r="D183" t="s">
        <v>102</v>
      </c>
      <c r="E183" t="s">
        <v>12</v>
      </c>
      <c r="F183">
        <v>4</v>
      </c>
      <c r="G183" s="2">
        <v>49.9</v>
      </c>
      <c r="H183" s="2">
        <v>0.15</v>
      </c>
      <c r="I183" s="2">
        <v>199.6</v>
      </c>
      <c r="J183" t="s">
        <v>116</v>
      </c>
    </row>
    <row r="184" spans="1:10">
      <c r="A184" t="s">
        <v>84</v>
      </c>
      <c r="B184">
        <f>MONTH(Vendas[[#This Row],[Data]])</f>
        <v>6</v>
      </c>
      <c r="C184" s="50">
        <v>44375</v>
      </c>
      <c r="D184" t="s">
        <v>112</v>
      </c>
      <c r="E184" t="s">
        <v>12</v>
      </c>
      <c r="F184">
        <v>6</v>
      </c>
      <c r="G184" s="2">
        <v>180</v>
      </c>
      <c r="H184" s="2">
        <v>0.2</v>
      </c>
      <c r="I184" s="2">
        <v>1080</v>
      </c>
      <c r="J184" t="s">
        <v>115</v>
      </c>
    </row>
    <row r="185" spans="1:10">
      <c r="A185" t="s">
        <v>84</v>
      </c>
      <c r="B185">
        <f>MONTH(Vendas[[#This Row],[Data]])</f>
        <v>6</v>
      </c>
      <c r="C185" s="50">
        <v>44375</v>
      </c>
      <c r="D185" t="s">
        <v>47</v>
      </c>
      <c r="E185" t="s">
        <v>12</v>
      </c>
      <c r="F185">
        <v>12</v>
      </c>
      <c r="G185" s="2">
        <v>29.9</v>
      </c>
      <c r="H185" s="2">
        <v>0.2</v>
      </c>
      <c r="I185" s="2">
        <v>358.8</v>
      </c>
      <c r="J185" t="s">
        <v>115</v>
      </c>
    </row>
    <row r="186" spans="1:10">
      <c r="A186" t="s">
        <v>84</v>
      </c>
      <c r="B186">
        <f>MONTH(Vendas[[#This Row],[Data]])</f>
        <v>6</v>
      </c>
      <c r="C186" s="50">
        <v>44376</v>
      </c>
      <c r="D186" t="s">
        <v>36</v>
      </c>
      <c r="E186" t="s">
        <v>13</v>
      </c>
      <c r="F186">
        <v>9</v>
      </c>
      <c r="G186" s="2">
        <v>39.9</v>
      </c>
      <c r="H186" s="2">
        <v>0.2</v>
      </c>
      <c r="I186" s="2">
        <v>359.1</v>
      </c>
      <c r="J186" t="s">
        <v>118</v>
      </c>
    </row>
    <row r="187" spans="1:10">
      <c r="A187" t="s">
        <v>84</v>
      </c>
      <c r="B187">
        <f>MONTH(Vendas[[#This Row],[Data]])</f>
        <v>6</v>
      </c>
      <c r="C187" s="50">
        <v>44377</v>
      </c>
      <c r="D187" t="s">
        <v>69</v>
      </c>
      <c r="E187" t="s">
        <v>12</v>
      </c>
      <c r="F187">
        <v>1</v>
      </c>
      <c r="G187" s="2">
        <v>146</v>
      </c>
      <c r="H187" s="2">
        <v>0.1</v>
      </c>
      <c r="I187" s="2">
        <v>146</v>
      </c>
      <c r="J187" t="s">
        <v>119</v>
      </c>
    </row>
    <row r="188" spans="1:10">
      <c r="A188" t="s">
        <v>155</v>
      </c>
      <c r="B188">
        <f>MONTH(Vendas[[#This Row],[Data]])</f>
        <v>7</v>
      </c>
      <c r="C188" s="50">
        <v>44382</v>
      </c>
      <c r="D188" t="s">
        <v>94</v>
      </c>
      <c r="E188" t="s">
        <v>12</v>
      </c>
      <c r="F188">
        <v>1</v>
      </c>
      <c r="G188" s="2">
        <v>289.89999999999998</v>
      </c>
      <c r="H188" s="2">
        <v>0.1</v>
      </c>
      <c r="I188" s="2">
        <v>289.89999999999998</v>
      </c>
      <c r="J188" t="s">
        <v>115</v>
      </c>
    </row>
    <row r="189" spans="1:10">
      <c r="A189" t="s">
        <v>155</v>
      </c>
      <c r="B189">
        <f>MONTH(Vendas[[#This Row],[Data]])</f>
        <v>7</v>
      </c>
      <c r="C189" s="50">
        <v>44383</v>
      </c>
      <c r="D189" t="s">
        <v>36</v>
      </c>
      <c r="E189" t="s">
        <v>13</v>
      </c>
      <c r="F189">
        <v>6</v>
      </c>
      <c r="G189" s="2">
        <v>39.9</v>
      </c>
      <c r="H189" s="2">
        <v>0.15</v>
      </c>
      <c r="I189" s="2">
        <v>239.4</v>
      </c>
      <c r="J189" t="s">
        <v>116</v>
      </c>
    </row>
    <row r="190" spans="1:10">
      <c r="A190" t="s">
        <v>155</v>
      </c>
      <c r="B190">
        <f>MONTH(Vendas[[#This Row],[Data]])</f>
        <v>7</v>
      </c>
      <c r="C190" s="50">
        <v>44384</v>
      </c>
      <c r="D190" t="s">
        <v>65</v>
      </c>
      <c r="E190" t="s">
        <v>12</v>
      </c>
      <c r="F190">
        <v>9</v>
      </c>
      <c r="G190" s="2">
        <v>91.4</v>
      </c>
      <c r="H190" s="2">
        <v>0.1</v>
      </c>
      <c r="I190" s="2">
        <v>822.6</v>
      </c>
      <c r="J190" t="s">
        <v>117</v>
      </c>
    </row>
    <row r="191" spans="1:10">
      <c r="A191" t="s">
        <v>155</v>
      </c>
      <c r="B191">
        <f>MONTH(Vendas[[#This Row],[Data]])</f>
        <v>7</v>
      </c>
      <c r="C191" s="50">
        <v>44389</v>
      </c>
      <c r="D191" t="s">
        <v>88</v>
      </c>
      <c r="E191" t="s">
        <v>12</v>
      </c>
      <c r="F191">
        <v>8</v>
      </c>
      <c r="G191" s="2">
        <v>72.5</v>
      </c>
      <c r="H191" s="2">
        <v>0.15</v>
      </c>
      <c r="I191" s="2">
        <v>580</v>
      </c>
      <c r="J191" t="s">
        <v>119</v>
      </c>
    </row>
    <row r="192" spans="1:10">
      <c r="A192" t="s">
        <v>155</v>
      </c>
      <c r="B192">
        <f>MONTH(Vendas[[#This Row],[Data]])</f>
        <v>7</v>
      </c>
      <c r="C192" s="50">
        <v>44390</v>
      </c>
      <c r="D192" t="s">
        <v>69</v>
      </c>
      <c r="E192" t="s">
        <v>12</v>
      </c>
      <c r="F192">
        <v>5</v>
      </c>
      <c r="G192" s="2">
        <v>146</v>
      </c>
      <c r="H192" s="2">
        <v>0.15</v>
      </c>
      <c r="I192" s="2">
        <v>730</v>
      </c>
      <c r="J192" t="s">
        <v>119</v>
      </c>
    </row>
    <row r="193" spans="1:10">
      <c r="A193" t="s">
        <v>155</v>
      </c>
      <c r="B193">
        <f>MONTH(Vendas[[#This Row],[Data]])</f>
        <v>7</v>
      </c>
      <c r="C193" s="50">
        <v>44394</v>
      </c>
      <c r="D193" t="s">
        <v>62</v>
      </c>
      <c r="E193" t="s">
        <v>14</v>
      </c>
      <c r="F193">
        <v>3</v>
      </c>
      <c r="G193" s="2">
        <v>250</v>
      </c>
      <c r="H193" s="2">
        <v>0.15</v>
      </c>
      <c r="I193" s="2">
        <v>750</v>
      </c>
      <c r="J193" t="s">
        <v>116</v>
      </c>
    </row>
    <row r="194" spans="1:10">
      <c r="A194" t="s">
        <v>155</v>
      </c>
      <c r="B194">
        <f>MONTH(Vendas[[#This Row],[Data]])</f>
        <v>7</v>
      </c>
      <c r="C194" s="50">
        <v>44400</v>
      </c>
      <c r="D194" t="s">
        <v>54</v>
      </c>
      <c r="E194" t="s">
        <v>12</v>
      </c>
      <c r="F194">
        <v>3</v>
      </c>
      <c r="G194" s="2">
        <v>259.89999999999998</v>
      </c>
      <c r="H194" s="2">
        <v>0.1</v>
      </c>
      <c r="I194" s="2">
        <v>779.7</v>
      </c>
      <c r="J194" t="s">
        <v>117</v>
      </c>
    </row>
    <row r="195" spans="1:10">
      <c r="A195" t="s">
        <v>155</v>
      </c>
      <c r="B195">
        <f>MONTH(Vendas[[#This Row],[Data]])</f>
        <v>7</v>
      </c>
      <c r="C195" s="50">
        <v>44403</v>
      </c>
      <c r="D195" t="s">
        <v>98</v>
      </c>
      <c r="E195" t="s">
        <v>12</v>
      </c>
      <c r="F195">
        <v>8</v>
      </c>
      <c r="G195" s="2">
        <v>32.9</v>
      </c>
      <c r="H195" s="2">
        <v>0.15</v>
      </c>
      <c r="I195" s="2">
        <v>263.2</v>
      </c>
      <c r="J195" t="s">
        <v>119</v>
      </c>
    </row>
    <row r="196" spans="1:10">
      <c r="A196" t="s">
        <v>155</v>
      </c>
      <c r="B196">
        <f>MONTH(Vendas[[#This Row],[Data]])</f>
        <v>7</v>
      </c>
      <c r="C196" s="50">
        <v>44405</v>
      </c>
      <c r="D196" t="s">
        <v>104</v>
      </c>
      <c r="E196" t="s">
        <v>14</v>
      </c>
      <c r="F196">
        <v>7</v>
      </c>
      <c r="G196" s="2">
        <v>89.9</v>
      </c>
      <c r="H196" s="2">
        <v>0.2</v>
      </c>
      <c r="I196" s="2">
        <v>629.29999999999995</v>
      </c>
      <c r="J196" t="s">
        <v>115</v>
      </c>
    </row>
    <row r="197" spans="1:10">
      <c r="A197" t="s">
        <v>155</v>
      </c>
      <c r="B197">
        <f>MONTH(Vendas[[#This Row],[Data]])</f>
        <v>7</v>
      </c>
      <c r="C197" s="50">
        <v>44406</v>
      </c>
      <c r="D197" t="s">
        <v>62</v>
      </c>
      <c r="E197" t="s">
        <v>14</v>
      </c>
      <c r="F197">
        <v>8</v>
      </c>
      <c r="G197" s="2">
        <v>250</v>
      </c>
      <c r="H197" s="2">
        <v>0.1</v>
      </c>
      <c r="I197" s="2">
        <v>2000</v>
      </c>
      <c r="J197" t="s">
        <v>117</v>
      </c>
    </row>
    <row r="198" spans="1:10">
      <c r="A198" t="s">
        <v>155</v>
      </c>
      <c r="B198">
        <f>MONTH(Vendas[[#This Row],[Data]])</f>
        <v>7</v>
      </c>
      <c r="C198" s="50">
        <v>44407</v>
      </c>
      <c r="D198" t="s">
        <v>102</v>
      </c>
      <c r="E198" t="s">
        <v>12</v>
      </c>
      <c r="F198">
        <v>9</v>
      </c>
      <c r="G198" s="2">
        <v>49.9</v>
      </c>
      <c r="H198" s="2">
        <v>0.15</v>
      </c>
      <c r="I198" s="2">
        <v>449.1</v>
      </c>
      <c r="J198" t="s">
        <v>116</v>
      </c>
    </row>
    <row r="199" spans="1:10">
      <c r="A199" t="s">
        <v>156</v>
      </c>
      <c r="B199">
        <f>MONTH(Vendas[[#This Row],[Data]])</f>
        <v>8</v>
      </c>
      <c r="C199" s="50">
        <v>44413</v>
      </c>
      <c r="D199" t="s">
        <v>65</v>
      </c>
      <c r="E199" t="s">
        <v>12</v>
      </c>
      <c r="F199">
        <v>3</v>
      </c>
      <c r="G199" s="2">
        <v>91.4</v>
      </c>
      <c r="H199" s="2">
        <v>0.1</v>
      </c>
      <c r="I199" s="2">
        <v>274.2</v>
      </c>
      <c r="J199" t="s">
        <v>117</v>
      </c>
    </row>
    <row r="200" spans="1:10">
      <c r="A200" t="s">
        <v>156</v>
      </c>
      <c r="B200">
        <f>MONTH(Vendas[[#This Row],[Data]])</f>
        <v>8</v>
      </c>
      <c r="C200" s="50">
        <v>44414</v>
      </c>
      <c r="D200" t="s">
        <v>94</v>
      </c>
      <c r="E200" t="s">
        <v>12</v>
      </c>
      <c r="F200">
        <v>12</v>
      </c>
      <c r="G200" s="2">
        <v>289.89999999999998</v>
      </c>
      <c r="H200" s="2">
        <v>0.15</v>
      </c>
      <c r="I200" s="2">
        <v>3478.8</v>
      </c>
      <c r="J200" t="s">
        <v>116</v>
      </c>
    </row>
    <row r="201" spans="1:10">
      <c r="A201" t="s">
        <v>156</v>
      </c>
      <c r="B201">
        <f>MONTH(Vendas[[#This Row],[Data]])</f>
        <v>8</v>
      </c>
      <c r="C201" s="50">
        <v>44415</v>
      </c>
      <c r="D201" t="s">
        <v>58</v>
      </c>
      <c r="E201" t="s">
        <v>14</v>
      </c>
      <c r="F201">
        <v>1</v>
      </c>
      <c r="G201" s="2">
        <v>249.9</v>
      </c>
      <c r="H201" s="2">
        <v>0</v>
      </c>
      <c r="I201" s="2">
        <v>249.9</v>
      </c>
      <c r="J201" t="s">
        <v>119</v>
      </c>
    </row>
    <row r="202" spans="1:10">
      <c r="A202" t="s">
        <v>156</v>
      </c>
      <c r="B202">
        <f>MONTH(Vendas[[#This Row],[Data]])</f>
        <v>8</v>
      </c>
      <c r="C202" s="50">
        <v>44416</v>
      </c>
      <c r="D202" t="s">
        <v>111</v>
      </c>
      <c r="E202" t="s">
        <v>12</v>
      </c>
      <c r="F202">
        <v>3</v>
      </c>
      <c r="G202" s="2">
        <v>180</v>
      </c>
      <c r="H202" s="2">
        <v>0.15</v>
      </c>
      <c r="I202" s="2">
        <v>540</v>
      </c>
      <c r="J202" t="s">
        <v>119</v>
      </c>
    </row>
    <row r="203" spans="1:10">
      <c r="A203" t="s">
        <v>156</v>
      </c>
      <c r="B203">
        <f>MONTH(Vendas[[#This Row],[Data]])</f>
        <v>8</v>
      </c>
      <c r="C203" s="50">
        <v>44417</v>
      </c>
      <c r="D203" t="s">
        <v>43</v>
      </c>
      <c r="E203" t="s">
        <v>12</v>
      </c>
      <c r="F203">
        <v>7</v>
      </c>
      <c r="G203" s="2">
        <v>39.9</v>
      </c>
      <c r="H203" s="2">
        <v>0.2</v>
      </c>
      <c r="I203" s="2">
        <v>279.3</v>
      </c>
      <c r="J203" t="s">
        <v>115</v>
      </c>
    </row>
    <row r="204" spans="1:10">
      <c r="A204" t="s">
        <v>156</v>
      </c>
      <c r="B204">
        <f>MONTH(Vendas[[#This Row],[Data]])</f>
        <v>8</v>
      </c>
      <c r="C204" s="50">
        <v>44418</v>
      </c>
      <c r="D204" t="s">
        <v>94</v>
      </c>
      <c r="E204" t="s">
        <v>12</v>
      </c>
      <c r="F204">
        <v>7</v>
      </c>
      <c r="G204" s="2">
        <v>289.89999999999998</v>
      </c>
      <c r="H204" s="2">
        <v>0.1</v>
      </c>
      <c r="I204" s="2">
        <v>2029.3</v>
      </c>
      <c r="J204" t="s">
        <v>117</v>
      </c>
    </row>
    <row r="205" spans="1:10">
      <c r="A205" t="s">
        <v>156</v>
      </c>
      <c r="B205">
        <f>MONTH(Vendas[[#This Row],[Data]])</f>
        <v>8</v>
      </c>
      <c r="C205" s="50">
        <v>44419</v>
      </c>
      <c r="D205" t="s">
        <v>65</v>
      </c>
      <c r="E205" t="s">
        <v>12</v>
      </c>
      <c r="F205">
        <v>11</v>
      </c>
      <c r="G205" s="2">
        <v>91.4</v>
      </c>
      <c r="H205" s="2">
        <v>0.15</v>
      </c>
      <c r="I205" s="2">
        <v>1005.4</v>
      </c>
      <c r="J205" t="s">
        <v>116</v>
      </c>
    </row>
    <row r="206" spans="1:10">
      <c r="A206" t="s">
        <v>156</v>
      </c>
      <c r="B206">
        <f>MONTH(Vendas[[#This Row],[Data]])</f>
        <v>8</v>
      </c>
      <c r="C206" s="50">
        <v>44420</v>
      </c>
      <c r="D206" t="s">
        <v>105</v>
      </c>
      <c r="E206" t="s">
        <v>14</v>
      </c>
      <c r="F206">
        <v>6</v>
      </c>
      <c r="G206" s="2">
        <v>89.9</v>
      </c>
      <c r="H206" s="2">
        <v>0.15</v>
      </c>
      <c r="I206" s="2">
        <v>539.4</v>
      </c>
      <c r="J206" t="s">
        <v>119</v>
      </c>
    </row>
    <row r="207" spans="1:10">
      <c r="A207" t="s">
        <v>156</v>
      </c>
      <c r="B207">
        <f>MONTH(Vendas[[#This Row],[Data]])</f>
        <v>8</v>
      </c>
      <c r="C207" s="50">
        <v>44421</v>
      </c>
      <c r="D207" t="s">
        <v>96</v>
      </c>
      <c r="E207" t="s">
        <v>12</v>
      </c>
      <c r="F207">
        <v>12</v>
      </c>
      <c r="G207" s="2">
        <v>32.9</v>
      </c>
      <c r="H207" s="2">
        <v>0.2</v>
      </c>
      <c r="I207" s="2">
        <v>394.8</v>
      </c>
      <c r="J207" t="s">
        <v>115</v>
      </c>
    </row>
    <row r="208" spans="1:10">
      <c r="A208" t="s">
        <v>156</v>
      </c>
      <c r="B208">
        <f>MONTH(Vendas[[#This Row],[Data]])</f>
        <v>8</v>
      </c>
      <c r="C208" s="50">
        <v>44422</v>
      </c>
      <c r="D208" t="s">
        <v>61</v>
      </c>
      <c r="E208" t="s">
        <v>14</v>
      </c>
      <c r="F208">
        <v>12</v>
      </c>
      <c r="G208" s="2">
        <v>245</v>
      </c>
      <c r="H208" s="2">
        <v>0.15</v>
      </c>
      <c r="I208" s="2">
        <v>2940</v>
      </c>
      <c r="J208" t="s">
        <v>119</v>
      </c>
    </row>
    <row r="209" spans="1:10">
      <c r="A209" t="s">
        <v>156</v>
      </c>
      <c r="B209">
        <f>MONTH(Vendas[[#This Row],[Data]])</f>
        <v>8</v>
      </c>
      <c r="C209" s="50">
        <v>44423</v>
      </c>
      <c r="D209" t="s">
        <v>38</v>
      </c>
      <c r="E209" t="s">
        <v>12</v>
      </c>
      <c r="F209">
        <v>3</v>
      </c>
      <c r="G209" s="2">
        <v>89.9</v>
      </c>
      <c r="H209" s="2">
        <v>0.1</v>
      </c>
      <c r="I209" s="2">
        <v>269.7</v>
      </c>
      <c r="J209" t="s">
        <v>117</v>
      </c>
    </row>
    <row r="210" spans="1:10">
      <c r="A210" t="s">
        <v>157</v>
      </c>
      <c r="B210">
        <f>MONTH(Vendas[[#This Row],[Data]])</f>
        <v>9</v>
      </c>
      <c r="C210" s="50">
        <v>44444</v>
      </c>
      <c r="D210" t="s">
        <v>45</v>
      </c>
      <c r="E210" t="s">
        <v>12</v>
      </c>
      <c r="F210">
        <v>11</v>
      </c>
      <c r="G210" s="2">
        <v>42.5</v>
      </c>
      <c r="H210" s="2">
        <v>0.15</v>
      </c>
      <c r="I210" s="2">
        <v>467.5</v>
      </c>
      <c r="J210" t="s">
        <v>119</v>
      </c>
    </row>
    <row r="211" spans="1:10">
      <c r="A211" t="s">
        <v>157</v>
      </c>
      <c r="B211">
        <f>MONTH(Vendas[[#This Row],[Data]])</f>
        <v>9</v>
      </c>
      <c r="C211" s="50">
        <v>44445</v>
      </c>
      <c r="D211" t="s">
        <v>91</v>
      </c>
      <c r="E211" t="s">
        <v>12</v>
      </c>
      <c r="F211">
        <v>11</v>
      </c>
      <c r="G211" s="2">
        <v>72.5</v>
      </c>
      <c r="H211" s="2">
        <v>0.15</v>
      </c>
      <c r="I211" s="2">
        <v>797.5</v>
      </c>
      <c r="J211" t="s">
        <v>119</v>
      </c>
    </row>
    <row r="212" spans="1:10">
      <c r="A212" t="s">
        <v>157</v>
      </c>
      <c r="B212">
        <f>MONTH(Vendas[[#This Row],[Data]])</f>
        <v>9</v>
      </c>
      <c r="C212" s="50">
        <v>44446</v>
      </c>
      <c r="D212" t="s">
        <v>66</v>
      </c>
      <c r="E212" t="s">
        <v>12</v>
      </c>
      <c r="F212">
        <v>4</v>
      </c>
      <c r="G212" s="2">
        <v>93.5</v>
      </c>
      <c r="H212" s="2">
        <v>0.15</v>
      </c>
      <c r="I212" s="2">
        <v>374</v>
      </c>
      <c r="J212" t="s">
        <v>116</v>
      </c>
    </row>
    <row r="213" spans="1:10">
      <c r="A213" t="s">
        <v>157</v>
      </c>
      <c r="B213">
        <f>MONTH(Vendas[[#This Row],[Data]])</f>
        <v>9</v>
      </c>
      <c r="C213" s="50">
        <v>44447</v>
      </c>
      <c r="D213" t="s">
        <v>62</v>
      </c>
      <c r="E213" t="s">
        <v>14</v>
      </c>
      <c r="F213">
        <v>9</v>
      </c>
      <c r="G213" s="2">
        <v>250</v>
      </c>
      <c r="H213" s="2">
        <v>0.15</v>
      </c>
      <c r="I213" s="2">
        <v>2250</v>
      </c>
      <c r="J213" t="s">
        <v>119</v>
      </c>
    </row>
    <row r="214" spans="1:10">
      <c r="A214" t="s">
        <v>157</v>
      </c>
      <c r="B214">
        <f>MONTH(Vendas[[#This Row],[Data]])</f>
        <v>9</v>
      </c>
      <c r="C214" s="50">
        <v>44448</v>
      </c>
      <c r="D214" t="s">
        <v>96</v>
      </c>
      <c r="E214" t="s">
        <v>12</v>
      </c>
      <c r="F214">
        <v>2</v>
      </c>
      <c r="G214" s="2">
        <v>32.9</v>
      </c>
      <c r="H214" s="2">
        <v>0.15</v>
      </c>
      <c r="I214" s="2">
        <v>65.8</v>
      </c>
      <c r="J214" t="s">
        <v>118</v>
      </c>
    </row>
    <row r="215" spans="1:10">
      <c r="A215" t="s">
        <v>157</v>
      </c>
      <c r="B215">
        <f>MONTH(Vendas[[#This Row],[Data]])</f>
        <v>9</v>
      </c>
      <c r="C215" s="50">
        <v>44449</v>
      </c>
      <c r="D215" t="s">
        <v>50</v>
      </c>
      <c r="E215" t="s">
        <v>12</v>
      </c>
      <c r="F215">
        <v>5</v>
      </c>
      <c r="G215" s="2">
        <v>299.89999999999998</v>
      </c>
      <c r="H215" s="2">
        <v>0.15</v>
      </c>
      <c r="I215" s="2">
        <v>1499.5</v>
      </c>
      <c r="J215" t="s">
        <v>119</v>
      </c>
    </row>
    <row r="216" spans="1:10">
      <c r="A216" t="s">
        <v>157</v>
      </c>
      <c r="B216">
        <f>MONTH(Vendas[[#This Row],[Data]])</f>
        <v>9</v>
      </c>
      <c r="C216" s="50">
        <v>44450</v>
      </c>
      <c r="D216" t="s">
        <v>33</v>
      </c>
      <c r="E216" t="s">
        <v>12</v>
      </c>
      <c r="F216">
        <v>10</v>
      </c>
      <c r="G216" s="2">
        <v>70.900000000000006</v>
      </c>
      <c r="H216" s="2">
        <v>0.2</v>
      </c>
      <c r="I216" s="2">
        <v>709</v>
      </c>
      <c r="J216" t="s">
        <v>118</v>
      </c>
    </row>
    <row r="217" spans="1:10">
      <c r="A217" t="s">
        <v>157</v>
      </c>
      <c r="B217">
        <f>MONTH(Vendas[[#This Row],[Data]])</f>
        <v>9</v>
      </c>
      <c r="C217" s="50">
        <v>44451</v>
      </c>
      <c r="D217" t="s">
        <v>99</v>
      </c>
      <c r="E217" t="s">
        <v>12</v>
      </c>
      <c r="F217">
        <v>11</v>
      </c>
      <c r="G217" s="2">
        <v>32.9</v>
      </c>
      <c r="H217" s="2">
        <v>0.2</v>
      </c>
      <c r="I217" s="2">
        <v>361.9</v>
      </c>
      <c r="J217" t="s">
        <v>115</v>
      </c>
    </row>
    <row r="218" spans="1:10">
      <c r="A218" t="s">
        <v>157</v>
      </c>
      <c r="B218">
        <f>MONTH(Vendas[[#This Row],[Data]])</f>
        <v>9</v>
      </c>
      <c r="C218" s="50">
        <v>44452</v>
      </c>
      <c r="D218" t="s">
        <v>32</v>
      </c>
      <c r="E218" t="s">
        <v>12</v>
      </c>
      <c r="F218">
        <v>9</v>
      </c>
      <c r="G218" s="2">
        <v>69.900000000000006</v>
      </c>
      <c r="H218" s="2">
        <v>0.2</v>
      </c>
      <c r="I218" s="2">
        <v>629.1</v>
      </c>
      <c r="J218" t="s">
        <v>115</v>
      </c>
    </row>
    <row r="219" spans="1:10">
      <c r="A219" t="s">
        <v>157</v>
      </c>
      <c r="B219">
        <f>MONTH(Vendas[[#This Row],[Data]])</f>
        <v>9</v>
      </c>
      <c r="C219" s="50">
        <v>44453</v>
      </c>
      <c r="D219" t="s">
        <v>68</v>
      </c>
      <c r="E219" t="s">
        <v>12</v>
      </c>
      <c r="F219">
        <v>8</v>
      </c>
      <c r="G219" s="2">
        <v>142.9</v>
      </c>
      <c r="H219" s="2">
        <v>0.15</v>
      </c>
      <c r="I219" s="2">
        <v>1143.2</v>
      </c>
      <c r="J219" t="s">
        <v>119</v>
      </c>
    </row>
    <row r="220" spans="1:10">
      <c r="A220" t="s">
        <v>157</v>
      </c>
      <c r="B220">
        <f>MONTH(Vendas[[#This Row],[Data]])</f>
        <v>9</v>
      </c>
      <c r="C220" s="50">
        <v>44454</v>
      </c>
      <c r="D220" t="s">
        <v>35</v>
      </c>
      <c r="E220" t="s">
        <v>13</v>
      </c>
      <c r="F220">
        <v>1</v>
      </c>
      <c r="G220" s="2">
        <v>259.89999999999998</v>
      </c>
      <c r="H220" s="2">
        <v>0</v>
      </c>
      <c r="I220" s="2">
        <v>259.89999999999998</v>
      </c>
      <c r="J220" t="s">
        <v>117</v>
      </c>
    </row>
    <row r="221" spans="1:10">
      <c r="A221" t="s">
        <v>158</v>
      </c>
      <c r="B221">
        <f>MONTH(Vendas[[#This Row],[Data]])</f>
        <v>10</v>
      </c>
      <c r="C221" s="50">
        <v>44474</v>
      </c>
      <c r="D221" t="s">
        <v>102</v>
      </c>
      <c r="E221" t="s">
        <v>12</v>
      </c>
      <c r="F221">
        <v>10</v>
      </c>
      <c r="G221" s="2">
        <v>49.9</v>
      </c>
      <c r="H221" s="2">
        <v>0.1</v>
      </c>
      <c r="I221" s="2">
        <v>499</v>
      </c>
      <c r="J221" t="s">
        <v>117</v>
      </c>
    </row>
    <row r="222" spans="1:10">
      <c r="A222" t="s">
        <v>158</v>
      </c>
      <c r="B222">
        <f>MONTH(Vendas[[#This Row],[Data]])</f>
        <v>10</v>
      </c>
      <c r="C222" s="50">
        <v>44475</v>
      </c>
      <c r="D222" t="s">
        <v>92</v>
      </c>
      <c r="E222" t="s">
        <v>12</v>
      </c>
      <c r="F222">
        <v>2</v>
      </c>
      <c r="G222" s="2">
        <v>289.89999999999998</v>
      </c>
      <c r="H222" s="2">
        <v>0.1</v>
      </c>
      <c r="I222" s="2">
        <v>579.79999999999995</v>
      </c>
      <c r="J222" t="s">
        <v>117</v>
      </c>
    </row>
    <row r="223" spans="1:10">
      <c r="A223" t="s">
        <v>158</v>
      </c>
      <c r="B223">
        <f>MONTH(Vendas[[#This Row],[Data]])</f>
        <v>10</v>
      </c>
      <c r="C223" s="50">
        <v>44476</v>
      </c>
      <c r="D223" t="s">
        <v>31</v>
      </c>
      <c r="E223" t="s">
        <v>12</v>
      </c>
      <c r="F223">
        <v>1</v>
      </c>
      <c r="G223" s="2">
        <v>65.900000000000006</v>
      </c>
      <c r="H223" s="2">
        <v>0.1</v>
      </c>
      <c r="I223" s="2">
        <v>65.900000000000006</v>
      </c>
      <c r="J223" t="s">
        <v>118</v>
      </c>
    </row>
    <row r="224" spans="1:10">
      <c r="A224" t="s">
        <v>158</v>
      </c>
      <c r="B224">
        <f>MONTH(Vendas[[#This Row],[Data]])</f>
        <v>10</v>
      </c>
      <c r="C224" s="50">
        <v>44477</v>
      </c>
      <c r="D224" t="s">
        <v>54</v>
      </c>
      <c r="E224" t="s">
        <v>12</v>
      </c>
      <c r="F224">
        <v>7</v>
      </c>
      <c r="G224" s="2">
        <v>259.89999999999998</v>
      </c>
      <c r="H224" s="2">
        <v>0.1</v>
      </c>
      <c r="I224" s="2">
        <v>1819.3</v>
      </c>
      <c r="J224" t="s">
        <v>117</v>
      </c>
    </row>
    <row r="225" spans="1:10">
      <c r="A225" t="s">
        <v>158</v>
      </c>
      <c r="B225">
        <f>MONTH(Vendas[[#This Row],[Data]])</f>
        <v>10</v>
      </c>
      <c r="C225" s="50">
        <v>44478</v>
      </c>
      <c r="D225" t="s">
        <v>41</v>
      </c>
      <c r="E225" t="s">
        <v>12</v>
      </c>
      <c r="F225">
        <v>11</v>
      </c>
      <c r="G225" s="2">
        <v>46.9</v>
      </c>
      <c r="H225" s="2">
        <v>0.2</v>
      </c>
      <c r="I225" s="2">
        <v>515.9</v>
      </c>
      <c r="J225" t="s">
        <v>115</v>
      </c>
    </row>
    <row r="226" spans="1:10">
      <c r="A226" t="s">
        <v>158</v>
      </c>
      <c r="B226">
        <f>MONTH(Vendas[[#This Row],[Data]])</f>
        <v>10</v>
      </c>
      <c r="C226" s="50">
        <v>44479</v>
      </c>
      <c r="D226" t="s">
        <v>107</v>
      </c>
      <c r="E226" t="s">
        <v>14</v>
      </c>
      <c r="F226">
        <v>1</v>
      </c>
      <c r="G226" s="2">
        <v>89.9</v>
      </c>
      <c r="H226" s="2">
        <v>0</v>
      </c>
      <c r="I226" s="2">
        <v>89.9</v>
      </c>
      <c r="J226" t="s">
        <v>117</v>
      </c>
    </row>
    <row r="227" spans="1:10">
      <c r="A227" t="s">
        <v>158</v>
      </c>
      <c r="B227">
        <f>MONTH(Vendas[[#This Row],[Data]])</f>
        <v>10</v>
      </c>
      <c r="C227" s="50">
        <v>44480</v>
      </c>
      <c r="D227" t="s">
        <v>68</v>
      </c>
      <c r="E227" t="s">
        <v>12</v>
      </c>
      <c r="F227">
        <v>9</v>
      </c>
      <c r="G227" s="2">
        <v>142.9</v>
      </c>
      <c r="H227" s="2">
        <v>0.2</v>
      </c>
      <c r="I227" s="2">
        <v>1286.0999999999999</v>
      </c>
      <c r="J227" t="s">
        <v>115</v>
      </c>
    </row>
    <row r="228" spans="1:10">
      <c r="A228" t="s">
        <v>158</v>
      </c>
      <c r="B228">
        <f>MONTH(Vendas[[#This Row],[Data]])</f>
        <v>10</v>
      </c>
      <c r="C228" s="50">
        <v>44481</v>
      </c>
      <c r="D228" t="s">
        <v>90</v>
      </c>
      <c r="E228" t="s">
        <v>12</v>
      </c>
      <c r="F228">
        <v>4</v>
      </c>
      <c r="G228" s="2">
        <v>72.5</v>
      </c>
      <c r="H228" s="2">
        <v>0.1</v>
      </c>
      <c r="I228" s="2">
        <v>290</v>
      </c>
      <c r="J228" t="s">
        <v>117</v>
      </c>
    </row>
    <row r="229" spans="1:10">
      <c r="A229" t="s">
        <v>158</v>
      </c>
      <c r="B229">
        <f>MONTH(Vendas[[#This Row],[Data]])</f>
        <v>10</v>
      </c>
      <c r="C229" s="50">
        <v>44482</v>
      </c>
      <c r="D229" t="s">
        <v>32</v>
      </c>
      <c r="E229" t="s">
        <v>12</v>
      </c>
      <c r="F229">
        <v>10</v>
      </c>
      <c r="G229" s="2">
        <v>69.900000000000006</v>
      </c>
      <c r="H229" s="2">
        <v>0.2</v>
      </c>
      <c r="I229" s="2">
        <v>699</v>
      </c>
      <c r="J229" t="s">
        <v>115</v>
      </c>
    </row>
    <row r="230" spans="1:10">
      <c r="A230" t="s">
        <v>158</v>
      </c>
      <c r="B230">
        <f>MONTH(Vendas[[#This Row],[Data]])</f>
        <v>10</v>
      </c>
      <c r="C230" s="50">
        <v>44483</v>
      </c>
      <c r="D230" t="s">
        <v>40</v>
      </c>
      <c r="E230" t="s">
        <v>12</v>
      </c>
      <c r="F230">
        <v>2</v>
      </c>
      <c r="G230" s="2">
        <v>44.9</v>
      </c>
      <c r="H230" s="2">
        <v>0.15</v>
      </c>
      <c r="I230" s="2">
        <v>89.8</v>
      </c>
      <c r="J230" t="s">
        <v>115</v>
      </c>
    </row>
    <row r="231" spans="1:10">
      <c r="A231" t="s">
        <v>158</v>
      </c>
      <c r="B231">
        <f>MONTH(Vendas[[#This Row],[Data]])</f>
        <v>10</v>
      </c>
      <c r="C231" s="50">
        <v>44484</v>
      </c>
      <c r="D231" t="s">
        <v>44</v>
      </c>
      <c r="E231" t="s">
        <v>12</v>
      </c>
      <c r="F231">
        <v>10</v>
      </c>
      <c r="G231" s="2">
        <v>39.9</v>
      </c>
      <c r="H231" s="2">
        <v>0.2</v>
      </c>
      <c r="I231" s="2">
        <v>399</v>
      </c>
      <c r="J231" t="s">
        <v>115</v>
      </c>
    </row>
    <row r="232" spans="1:10">
      <c r="A232" t="s">
        <v>159</v>
      </c>
      <c r="B232">
        <f>MONTH(Vendas[[#This Row],[Data]])</f>
        <v>11</v>
      </c>
      <c r="C232" s="50">
        <v>44505</v>
      </c>
      <c r="D232" t="s">
        <v>91</v>
      </c>
      <c r="E232" t="s">
        <v>12</v>
      </c>
      <c r="F232">
        <v>1</v>
      </c>
      <c r="G232" s="2">
        <v>72.5</v>
      </c>
      <c r="H232" s="2">
        <v>0.1</v>
      </c>
      <c r="I232" s="2">
        <v>72.5</v>
      </c>
      <c r="J232" t="s">
        <v>115</v>
      </c>
    </row>
    <row r="233" spans="1:10">
      <c r="A233" t="s">
        <v>159</v>
      </c>
      <c r="B233">
        <f>MONTH(Vendas[[#This Row],[Data]])</f>
        <v>11</v>
      </c>
      <c r="C233" s="50">
        <v>44506</v>
      </c>
      <c r="D233" t="s">
        <v>86</v>
      </c>
      <c r="E233" t="s">
        <v>12</v>
      </c>
      <c r="F233">
        <v>3</v>
      </c>
      <c r="G233" s="2">
        <v>54.9</v>
      </c>
      <c r="H233" s="2">
        <v>0.15</v>
      </c>
      <c r="I233" s="2">
        <v>164.7</v>
      </c>
      <c r="J233" t="s">
        <v>119</v>
      </c>
    </row>
    <row r="234" spans="1:10">
      <c r="A234" t="s">
        <v>159</v>
      </c>
      <c r="B234">
        <f>MONTH(Vendas[[#This Row],[Data]])</f>
        <v>11</v>
      </c>
      <c r="C234" s="50">
        <v>44507</v>
      </c>
      <c r="D234" t="s">
        <v>91</v>
      </c>
      <c r="E234" t="s">
        <v>12</v>
      </c>
      <c r="F234">
        <v>4</v>
      </c>
      <c r="G234" s="2">
        <v>72.5</v>
      </c>
      <c r="H234" s="2">
        <v>0.2</v>
      </c>
      <c r="I234" s="2">
        <v>290</v>
      </c>
      <c r="J234" t="s">
        <v>118</v>
      </c>
    </row>
    <row r="235" spans="1:10">
      <c r="A235" t="s">
        <v>159</v>
      </c>
      <c r="B235">
        <f>MONTH(Vendas[[#This Row],[Data]])</f>
        <v>11</v>
      </c>
      <c r="C235" s="50">
        <v>44508</v>
      </c>
      <c r="D235" t="s">
        <v>91</v>
      </c>
      <c r="E235" t="s">
        <v>12</v>
      </c>
      <c r="F235">
        <v>2</v>
      </c>
      <c r="G235" s="2">
        <v>72.5</v>
      </c>
      <c r="H235" s="2">
        <v>0.15</v>
      </c>
      <c r="I235" s="2">
        <v>145</v>
      </c>
      <c r="J235" t="s">
        <v>115</v>
      </c>
    </row>
    <row r="236" spans="1:10">
      <c r="A236" t="s">
        <v>159</v>
      </c>
      <c r="B236">
        <f>MONTH(Vendas[[#This Row],[Data]])</f>
        <v>11</v>
      </c>
      <c r="C236" s="50">
        <v>44509</v>
      </c>
      <c r="D236" t="s">
        <v>38</v>
      </c>
      <c r="E236" t="s">
        <v>12</v>
      </c>
      <c r="F236">
        <v>3</v>
      </c>
      <c r="G236" s="2">
        <v>89.9</v>
      </c>
      <c r="H236" s="2">
        <v>0.15</v>
      </c>
      <c r="I236" s="2">
        <v>269.7</v>
      </c>
      <c r="J236" t="s">
        <v>119</v>
      </c>
    </row>
    <row r="237" spans="1:10">
      <c r="A237" t="s">
        <v>159</v>
      </c>
      <c r="B237">
        <f>MONTH(Vendas[[#This Row],[Data]])</f>
        <v>11</v>
      </c>
      <c r="C237" s="50">
        <v>44510</v>
      </c>
      <c r="D237" t="s">
        <v>105</v>
      </c>
      <c r="E237" t="s">
        <v>14</v>
      </c>
      <c r="F237">
        <v>4</v>
      </c>
      <c r="G237" s="2">
        <v>89.9</v>
      </c>
      <c r="H237" s="2">
        <v>0.15</v>
      </c>
      <c r="I237" s="2">
        <v>359.6</v>
      </c>
      <c r="J237" t="s">
        <v>118</v>
      </c>
    </row>
    <row r="238" spans="1:10">
      <c r="A238" t="s">
        <v>159</v>
      </c>
      <c r="B238">
        <f>MONTH(Vendas[[#This Row],[Data]])</f>
        <v>11</v>
      </c>
      <c r="C238" s="50">
        <v>44511</v>
      </c>
      <c r="D238" t="s">
        <v>85</v>
      </c>
      <c r="E238" t="s">
        <v>12</v>
      </c>
      <c r="F238">
        <v>9</v>
      </c>
      <c r="G238" s="2">
        <v>70</v>
      </c>
      <c r="H238" s="2">
        <v>0.15</v>
      </c>
      <c r="I238" s="2">
        <v>630</v>
      </c>
      <c r="J238" t="s">
        <v>116</v>
      </c>
    </row>
    <row r="239" spans="1:10">
      <c r="A239" t="s">
        <v>159</v>
      </c>
      <c r="B239">
        <f>MONTH(Vendas[[#This Row],[Data]])</f>
        <v>11</v>
      </c>
      <c r="C239" s="50">
        <v>44512</v>
      </c>
      <c r="D239" t="s">
        <v>33</v>
      </c>
      <c r="E239" t="s">
        <v>12</v>
      </c>
      <c r="F239">
        <v>2</v>
      </c>
      <c r="G239" s="2">
        <v>70.900000000000006</v>
      </c>
      <c r="H239" s="2">
        <v>0.15</v>
      </c>
      <c r="I239" s="2">
        <v>141.80000000000001</v>
      </c>
      <c r="J239" t="s">
        <v>115</v>
      </c>
    </row>
    <row r="240" spans="1:10">
      <c r="A240" t="s">
        <v>159</v>
      </c>
      <c r="B240">
        <f>MONTH(Vendas[[#This Row],[Data]])</f>
        <v>11</v>
      </c>
      <c r="C240" s="50">
        <v>44513</v>
      </c>
      <c r="D240" t="s">
        <v>38</v>
      </c>
      <c r="E240" t="s">
        <v>12</v>
      </c>
      <c r="F240">
        <v>3</v>
      </c>
      <c r="G240" s="2">
        <v>89.9</v>
      </c>
      <c r="H240" s="2">
        <v>0.15</v>
      </c>
      <c r="I240" s="2">
        <v>269.7</v>
      </c>
      <c r="J240" t="s">
        <v>116</v>
      </c>
    </row>
    <row r="241" spans="1:10">
      <c r="A241" t="s">
        <v>159</v>
      </c>
      <c r="B241">
        <f>MONTH(Vendas[[#This Row],[Data]])</f>
        <v>11</v>
      </c>
      <c r="C241" s="50">
        <v>44514</v>
      </c>
      <c r="D241" t="s">
        <v>51</v>
      </c>
      <c r="E241" t="s">
        <v>12</v>
      </c>
      <c r="F241">
        <v>7</v>
      </c>
      <c r="G241" s="2">
        <v>302.89999999999998</v>
      </c>
      <c r="H241" s="2">
        <v>0.15</v>
      </c>
      <c r="I241" s="2">
        <v>2120.3000000000002</v>
      </c>
      <c r="J241" t="s">
        <v>119</v>
      </c>
    </row>
    <row r="242" spans="1:10">
      <c r="A242" t="s">
        <v>159</v>
      </c>
      <c r="B242">
        <f>MONTH(Vendas[[#This Row],[Data]])</f>
        <v>11</v>
      </c>
      <c r="C242" s="50">
        <v>44515</v>
      </c>
      <c r="D242" t="s">
        <v>99</v>
      </c>
      <c r="E242" t="s">
        <v>12</v>
      </c>
      <c r="F242">
        <v>2</v>
      </c>
      <c r="G242" s="2">
        <v>32.9</v>
      </c>
      <c r="H242" s="2">
        <v>0.1</v>
      </c>
      <c r="I242" s="2">
        <v>65.8</v>
      </c>
      <c r="J242" t="s">
        <v>117</v>
      </c>
    </row>
    <row r="243" spans="1:10">
      <c r="A243" t="s">
        <v>160</v>
      </c>
      <c r="B243">
        <f>MONTH(Vendas[[#This Row],[Data]])</f>
        <v>12</v>
      </c>
      <c r="C243" s="50">
        <v>44535</v>
      </c>
      <c r="D243" t="s">
        <v>112</v>
      </c>
      <c r="E243" t="s">
        <v>12</v>
      </c>
      <c r="F243">
        <v>3</v>
      </c>
      <c r="G243" s="2">
        <v>180</v>
      </c>
      <c r="H243" s="2">
        <v>0.1</v>
      </c>
      <c r="I243" s="2">
        <v>540</v>
      </c>
      <c r="J243" t="s">
        <v>117</v>
      </c>
    </row>
    <row r="244" spans="1:10">
      <c r="A244" t="s">
        <v>160</v>
      </c>
      <c r="B244">
        <f>MONTH(Vendas[[#This Row],[Data]])</f>
        <v>12</v>
      </c>
      <c r="C244" s="50">
        <v>44536</v>
      </c>
      <c r="D244" t="s">
        <v>96</v>
      </c>
      <c r="E244" t="s">
        <v>12</v>
      </c>
      <c r="F244">
        <v>9</v>
      </c>
      <c r="G244" s="2">
        <v>32.9</v>
      </c>
      <c r="H244" s="2">
        <v>0.15</v>
      </c>
      <c r="I244" s="2">
        <v>296.10000000000002</v>
      </c>
      <c r="J244" t="s">
        <v>116</v>
      </c>
    </row>
    <row r="245" spans="1:10">
      <c r="A245" t="s">
        <v>160</v>
      </c>
      <c r="B245">
        <f>MONTH(Vendas[[#This Row],[Data]])</f>
        <v>12</v>
      </c>
      <c r="C245" s="50">
        <v>44537</v>
      </c>
      <c r="D245" t="s">
        <v>64</v>
      </c>
      <c r="E245" t="s">
        <v>12</v>
      </c>
      <c r="F245">
        <v>6</v>
      </c>
      <c r="G245" s="2">
        <v>89.9</v>
      </c>
      <c r="H245" s="2">
        <v>0.2</v>
      </c>
      <c r="I245" s="2">
        <v>539.4</v>
      </c>
      <c r="J245" t="s">
        <v>118</v>
      </c>
    </row>
    <row r="246" spans="1:10">
      <c r="A246" t="s">
        <v>160</v>
      </c>
      <c r="B246">
        <f>MONTH(Vendas[[#This Row],[Data]])</f>
        <v>12</v>
      </c>
      <c r="C246" s="50">
        <v>44538</v>
      </c>
      <c r="D246" t="s">
        <v>62</v>
      </c>
      <c r="E246" t="s">
        <v>14</v>
      </c>
      <c r="F246">
        <v>8</v>
      </c>
      <c r="G246" s="2">
        <v>250</v>
      </c>
      <c r="H246" s="2">
        <v>0.15</v>
      </c>
      <c r="I246" s="2">
        <v>2000</v>
      </c>
      <c r="J246" t="s">
        <v>119</v>
      </c>
    </row>
    <row r="247" spans="1:10">
      <c r="A247" t="s">
        <v>160</v>
      </c>
      <c r="B247">
        <f>MONTH(Vendas[[#This Row],[Data]])</f>
        <v>12</v>
      </c>
      <c r="C247" s="50">
        <v>44539</v>
      </c>
      <c r="D247" t="s">
        <v>63</v>
      </c>
      <c r="E247" t="s">
        <v>14</v>
      </c>
      <c r="F247">
        <v>8</v>
      </c>
      <c r="G247" s="2">
        <v>259.89999999999998</v>
      </c>
      <c r="H247" s="2">
        <v>0.2</v>
      </c>
      <c r="I247" s="2">
        <v>2079.1999999999998</v>
      </c>
      <c r="J247" t="s">
        <v>118</v>
      </c>
    </row>
    <row r="248" spans="1:10">
      <c r="A248" t="s">
        <v>160</v>
      </c>
      <c r="B248">
        <f>MONTH(Vendas[[#This Row],[Data]])</f>
        <v>12</v>
      </c>
      <c r="C248" s="50">
        <v>44540</v>
      </c>
      <c r="D248" t="s">
        <v>32</v>
      </c>
      <c r="E248" t="s">
        <v>12</v>
      </c>
      <c r="F248">
        <v>4</v>
      </c>
      <c r="G248" s="2">
        <v>69.900000000000006</v>
      </c>
      <c r="H248" s="2">
        <v>0.15</v>
      </c>
      <c r="I248" s="2">
        <v>279.60000000000002</v>
      </c>
      <c r="J248" t="s">
        <v>119</v>
      </c>
    </row>
    <row r="249" spans="1:10">
      <c r="A249" t="s">
        <v>160</v>
      </c>
      <c r="B249">
        <f>MONTH(Vendas[[#This Row],[Data]])</f>
        <v>12</v>
      </c>
      <c r="C249" s="50">
        <v>44541</v>
      </c>
      <c r="D249" t="s">
        <v>38</v>
      </c>
      <c r="E249" t="s">
        <v>12</v>
      </c>
      <c r="F249">
        <v>3</v>
      </c>
      <c r="G249" s="2">
        <v>89.9</v>
      </c>
      <c r="H249" s="2">
        <v>0.2</v>
      </c>
      <c r="I249" s="2">
        <v>269.7</v>
      </c>
      <c r="J249" t="s">
        <v>115</v>
      </c>
    </row>
    <row r="250" spans="1:10">
      <c r="A250" t="s">
        <v>160</v>
      </c>
      <c r="B250">
        <f>MONTH(Vendas[[#This Row],[Data]])</f>
        <v>12</v>
      </c>
      <c r="C250" s="50">
        <v>44542</v>
      </c>
      <c r="D250" t="s">
        <v>107</v>
      </c>
      <c r="E250" t="s">
        <v>14</v>
      </c>
      <c r="F250">
        <v>10</v>
      </c>
      <c r="G250" s="2">
        <v>89.9</v>
      </c>
      <c r="H250" s="2">
        <v>0.2</v>
      </c>
      <c r="I250" s="2">
        <v>899</v>
      </c>
      <c r="J250" t="s">
        <v>115</v>
      </c>
    </row>
    <row r="251" spans="1:10">
      <c r="A251" t="s">
        <v>160</v>
      </c>
      <c r="B251">
        <f>MONTH(Vendas[[#This Row],[Data]])</f>
        <v>12</v>
      </c>
      <c r="C251" s="50">
        <v>44543</v>
      </c>
      <c r="D251" t="s">
        <v>90</v>
      </c>
      <c r="E251" t="s">
        <v>12</v>
      </c>
      <c r="F251">
        <v>6</v>
      </c>
      <c r="G251" s="2">
        <v>72.5</v>
      </c>
      <c r="H251" s="2">
        <v>0.15</v>
      </c>
      <c r="I251" s="2">
        <v>435</v>
      </c>
      <c r="J251" t="s">
        <v>116</v>
      </c>
    </row>
    <row r="252" spans="1:10">
      <c r="A252" t="s">
        <v>160</v>
      </c>
      <c r="B252">
        <f>MONTH(Vendas[[#This Row],[Data]])</f>
        <v>12</v>
      </c>
      <c r="C252" s="50">
        <v>44544</v>
      </c>
      <c r="D252" t="s">
        <v>32</v>
      </c>
      <c r="E252" t="s">
        <v>12</v>
      </c>
      <c r="F252">
        <v>1</v>
      </c>
      <c r="G252" s="2">
        <v>69.900000000000006</v>
      </c>
      <c r="H252" s="2">
        <v>0.1</v>
      </c>
      <c r="I252" s="2">
        <v>69.900000000000006</v>
      </c>
      <c r="J252" t="s">
        <v>118</v>
      </c>
    </row>
    <row r="253" spans="1:10">
      <c r="A253" t="s">
        <v>160</v>
      </c>
      <c r="B253">
        <f>MONTH(Vendas[[#This Row],[Data]])</f>
        <v>12</v>
      </c>
      <c r="C253" s="50">
        <v>44545</v>
      </c>
      <c r="D253" t="s">
        <v>92</v>
      </c>
      <c r="E253" t="s">
        <v>12</v>
      </c>
      <c r="F253">
        <v>8</v>
      </c>
      <c r="G253" s="2">
        <v>289.89999999999998</v>
      </c>
      <c r="H253" s="2">
        <v>0.2</v>
      </c>
      <c r="I253" s="2">
        <v>2319.1999999999998</v>
      </c>
      <c r="J253" t="s">
        <v>118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A660-4503-4F45-BFF6-09C4955A4330}">
  <dimension ref="A2:D84"/>
  <sheetViews>
    <sheetView showGridLines="0" topLeftCell="E33" workbookViewId="0">
      <selection activeCell="C9" sqref="C9"/>
    </sheetView>
  </sheetViews>
  <sheetFormatPr defaultRowHeight="14.4"/>
  <cols>
    <col min="1" max="1" width="17.21875" bestFit="1" customWidth="1"/>
    <col min="2" max="2" width="14.44140625" style="49" bestFit="1" customWidth="1"/>
    <col min="3" max="3" width="9.33203125" style="52" bestFit="1" customWidth="1"/>
    <col min="4" max="4" width="18.5546875" style="2" bestFit="1" customWidth="1"/>
    <col min="5" max="24" width="18.5546875" bestFit="1" customWidth="1"/>
    <col min="25" max="25" width="10" bestFit="1" customWidth="1"/>
    <col min="26" max="242" width="18.5546875" bestFit="1" customWidth="1"/>
    <col min="243" max="243" width="10" bestFit="1" customWidth="1"/>
  </cols>
  <sheetData>
    <row r="2" spans="1:3">
      <c r="A2" s="48" t="s">
        <v>147</v>
      </c>
      <c r="B2" s="2" t="s">
        <v>152</v>
      </c>
      <c r="C2" s="52" t="s">
        <v>161</v>
      </c>
    </row>
    <row r="3" spans="1:3">
      <c r="A3" s="43" t="s">
        <v>79</v>
      </c>
      <c r="B3" s="2">
        <v>27065.5</v>
      </c>
      <c r="C3" s="52">
        <v>154</v>
      </c>
    </row>
    <row r="4" spans="1:3">
      <c r="A4" s="43" t="s">
        <v>80</v>
      </c>
      <c r="B4" s="2">
        <v>7502.6</v>
      </c>
      <c r="C4" s="52">
        <v>83</v>
      </c>
    </row>
    <row r="5" spans="1:3">
      <c r="A5" s="43" t="s">
        <v>81</v>
      </c>
      <c r="B5" s="2">
        <v>7197.4</v>
      </c>
      <c r="C5" s="52">
        <v>114</v>
      </c>
    </row>
    <row r="6" spans="1:3">
      <c r="A6" s="43" t="s">
        <v>82</v>
      </c>
      <c r="B6" s="2">
        <v>17379.8</v>
      </c>
      <c r="C6" s="52">
        <v>146</v>
      </c>
    </row>
    <row r="7" spans="1:3">
      <c r="A7" s="43" t="s">
        <v>83</v>
      </c>
      <c r="B7" s="2">
        <v>20685.5</v>
      </c>
      <c r="C7" s="52">
        <v>114</v>
      </c>
    </row>
    <row r="8" spans="1:3">
      <c r="A8" s="43" t="s">
        <v>84</v>
      </c>
      <c r="B8" s="2">
        <v>22586.3</v>
      </c>
      <c r="C8" s="52">
        <v>185</v>
      </c>
    </row>
    <row r="9" spans="1:3">
      <c r="A9" s="43" t="s">
        <v>155</v>
      </c>
      <c r="B9" s="2">
        <v>18730.099999999999</v>
      </c>
      <c r="C9" s="52">
        <v>133</v>
      </c>
    </row>
    <row r="10" spans="1:3">
      <c r="A10" s="43" t="s">
        <v>156</v>
      </c>
      <c r="B10" s="2">
        <v>21585.8</v>
      </c>
      <c r="C10" s="52">
        <v>147</v>
      </c>
    </row>
    <row r="11" spans="1:3">
      <c r="A11" s="43" t="s">
        <v>157</v>
      </c>
      <c r="B11" s="2">
        <v>19851</v>
      </c>
      <c r="C11" s="52">
        <v>151</v>
      </c>
    </row>
    <row r="12" spans="1:3">
      <c r="A12" s="43" t="s">
        <v>158</v>
      </c>
      <c r="B12" s="2">
        <v>15659.4</v>
      </c>
      <c r="C12" s="52">
        <v>151</v>
      </c>
    </row>
    <row r="13" spans="1:3">
      <c r="A13" s="43" t="s">
        <v>159</v>
      </c>
      <c r="B13" s="2">
        <v>9455.2000000000007</v>
      </c>
      <c r="C13" s="52">
        <v>92</v>
      </c>
    </row>
    <row r="14" spans="1:3">
      <c r="A14" s="43" t="s">
        <v>160</v>
      </c>
      <c r="B14" s="2">
        <v>19742.5</v>
      </c>
      <c r="C14" s="52">
        <v>129</v>
      </c>
    </row>
    <row r="15" spans="1:3">
      <c r="A15" s="43" t="s">
        <v>148</v>
      </c>
      <c r="B15" s="2">
        <v>207441.1</v>
      </c>
      <c r="C15" s="52">
        <v>1599</v>
      </c>
    </row>
    <row r="21" spans="1:3">
      <c r="A21" s="48" t="s">
        <v>147</v>
      </c>
      <c r="B21" s="2" t="s">
        <v>152</v>
      </c>
      <c r="C21"/>
    </row>
    <row r="22" spans="1:3">
      <c r="A22" s="43" t="s">
        <v>70</v>
      </c>
      <c r="B22" s="2">
        <v>36204.6</v>
      </c>
      <c r="C22"/>
    </row>
    <row r="23" spans="1:3">
      <c r="A23" s="43" t="s">
        <v>71</v>
      </c>
      <c r="B23" s="2">
        <v>36468.6</v>
      </c>
      <c r="C23"/>
    </row>
    <row r="24" spans="1:3">
      <c r="A24" s="43" t="s">
        <v>120</v>
      </c>
      <c r="B24" s="2">
        <v>37864</v>
      </c>
      <c r="C24"/>
    </row>
    <row r="25" spans="1:3">
      <c r="A25" s="43" t="s">
        <v>73</v>
      </c>
      <c r="B25" s="2">
        <v>47690</v>
      </c>
      <c r="C25"/>
    </row>
    <row r="26" spans="1:3">
      <c r="A26" s="43" t="s">
        <v>121</v>
      </c>
      <c r="B26" s="2">
        <v>49213.9</v>
      </c>
      <c r="C26"/>
    </row>
    <row r="27" spans="1:3">
      <c r="A27" s="43" t="s">
        <v>148</v>
      </c>
      <c r="B27" s="2">
        <v>207441.1</v>
      </c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1:4">
      <c r="C33"/>
    </row>
    <row r="34" spans="1:4">
      <c r="C34"/>
    </row>
    <row r="35" spans="1:4">
      <c r="C35"/>
    </row>
    <row r="36" spans="1:4">
      <c r="B36" s="2"/>
      <c r="C36"/>
    </row>
    <row r="37" spans="1:4">
      <c r="A37" t="s">
        <v>10</v>
      </c>
      <c r="B37" s="2" t="s">
        <v>162</v>
      </c>
      <c r="C37" t="s">
        <v>163</v>
      </c>
      <c r="D37" s="2" t="s">
        <v>164</v>
      </c>
    </row>
    <row r="38" spans="1:4">
      <c r="A38" t="s">
        <v>14</v>
      </c>
      <c r="B38" s="41">
        <f>D38/$D$41</f>
        <v>0.19696868171254395</v>
      </c>
      <c r="C38" s="53">
        <f>$B$41-B38</f>
        <v>0.80303131828745622</v>
      </c>
      <c r="D38" s="2">
        <f>SUMIF(Vendas[Categoria],'TBDN_Vendas Histórico'!A38,Vendas[Total])</f>
        <v>40859.400000000009</v>
      </c>
    </row>
    <row r="39" spans="1:4">
      <c r="A39" t="s">
        <v>12</v>
      </c>
      <c r="B39" s="41">
        <f>D39/$D$41</f>
        <v>0.65129427100029846</v>
      </c>
      <c r="C39" s="53">
        <f t="shared" ref="C39:C40" si="0">$B$41-B39</f>
        <v>0.34870572899970176</v>
      </c>
      <c r="D39" s="2">
        <f>SUMIF(Vendas[Categoria],'TBDN_Vendas Histórico'!A39,Vendas[Total])</f>
        <v>135105.20000000004</v>
      </c>
    </row>
    <row r="40" spans="1:4">
      <c r="A40" t="s">
        <v>13</v>
      </c>
      <c r="B40" s="41">
        <f t="shared" ref="B40" si="1">D40/$D$41</f>
        <v>0.15173704728715767</v>
      </c>
      <c r="C40" s="53">
        <f t="shared" si="0"/>
        <v>0.84826295271284258</v>
      </c>
      <c r="D40" s="2">
        <f>SUMIF(Vendas[Categoria],'TBDN_Vendas Histórico'!A40,Vendas[Total])</f>
        <v>31476.500000000007</v>
      </c>
    </row>
    <row r="41" spans="1:4">
      <c r="A41" t="s">
        <v>16</v>
      </c>
      <c r="B41" s="53">
        <f>SUM(B38:B40)</f>
        <v>1.0000000000000002</v>
      </c>
      <c r="C41" s="53"/>
      <c r="D41" s="2">
        <f>SUM(D38:D40)</f>
        <v>207441.10000000003</v>
      </c>
    </row>
    <row r="42" spans="1:4">
      <c r="B42"/>
      <c r="C42"/>
    </row>
    <row r="43" spans="1:4">
      <c r="B43"/>
      <c r="C43"/>
    </row>
    <row r="44" spans="1:4">
      <c r="B44" s="2"/>
      <c r="C44"/>
    </row>
    <row r="45" spans="1:4">
      <c r="B45" s="2"/>
      <c r="C45"/>
    </row>
    <row r="46" spans="1:4">
      <c r="B46" s="2"/>
      <c r="C46"/>
    </row>
    <row r="47" spans="1:4">
      <c r="B47" s="2"/>
      <c r="C47"/>
    </row>
    <row r="48" spans="1:4">
      <c r="B48" s="2"/>
      <c r="C48"/>
    </row>
    <row r="49" spans="2:4">
      <c r="B49" s="2"/>
      <c r="C49"/>
    </row>
    <row r="50" spans="2:4">
      <c r="B50" s="2"/>
      <c r="C50"/>
    </row>
    <row r="51" spans="2:4">
      <c r="B51" s="2"/>
      <c r="C51"/>
    </row>
    <row r="52" spans="2:4">
      <c r="B52" s="2"/>
      <c r="C52"/>
    </row>
    <row r="53" spans="2:4">
      <c r="B53" s="2"/>
      <c r="C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  <row r="57" spans="2:4">
      <c r="B57"/>
      <c r="C57"/>
      <c r="D57"/>
    </row>
    <row r="58" spans="2:4">
      <c r="B58"/>
      <c r="C58"/>
      <c r="D58"/>
    </row>
    <row r="59" spans="2:4">
      <c r="B59"/>
      <c r="C59"/>
    </row>
    <row r="60" spans="2:4">
      <c r="B60"/>
      <c r="C60"/>
    </row>
    <row r="61" spans="2:4">
      <c r="B61"/>
      <c r="C61"/>
    </row>
    <row r="62" spans="2:4">
      <c r="B62"/>
      <c r="C62"/>
    </row>
    <row r="63" spans="2:4">
      <c r="B63"/>
      <c r="C63"/>
    </row>
    <row r="64" spans="2:4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C72"/>
    </row>
    <row r="73" spans="2:3">
      <c r="C73"/>
    </row>
    <row r="74" spans="2:3">
      <c r="C74"/>
    </row>
    <row r="75" spans="2:3">
      <c r="C75"/>
    </row>
    <row r="76" spans="2:3">
      <c r="C76"/>
    </row>
    <row r="77" spans="2:3">
      <c r="C77"/>
    </row>
    <row r="78" spans="2:3">
      <c r="C78"/>
    </row>
    <row r="79" spans="2:3">
      <c r="C79"/>
    </row>
    <row r="80" spans="2:3">
      <c r="C80"/>
    </row>
    <row r="81" spans="3:3">
      <c r="C81"/>
    </row>
    <row r="82" spans="3:3">
      <c r="C82"/>
    </row>
    <row r="83" spans="3:3">
      <c r="C83"/>
    </row>
    <row r="84" spans="3:3">
      <c r="C84"/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148A4597-1272-4ED7-ABEC-9FE8894966D5}">
  <ds:schemaRefs/>
</ds:datastoreItem>
</file>

<file path=customXml/itemProps2.xml><?xml version="1.0" encoding="utf-8"?>
<ds:datastoreItem xmlns:ds="http://schemas.openxmlformats.org/officeDocument/2006/customXml" ds:itemID="{E5E8A010-3244-48BE-ADC7-00D3C55FF820}">
  <ds:schemaRefs/>
</ds:datastoreItem>
</file>

<file path=customXml/itemProps3.xml><?xml version="1.0" encoding="utf-8"?>
<ds:datastoreItem xmlns:ds="http://schemas.openxmlformats.org/officeDocument/2006/customXml" ds:itemID="{2B797372-CA90-47CC-971D-4C192CFA90F2}">
  <ds:schemaRefs/>
</ds:datastoreItem>
</file>

<file path=customXml/itemProps4.xml><?xml version="1.0" encoding="utf-8"?>
<ds:datastoreItem xmlns:ds="http://schemas.openxmlformats.org/officeDocument/2006/customXml" ds:itemID="{EFECF591-0EF8-44C6-8C6F-EA0CB35EA856}">
  <ds:schemaRefs/>
</ds:datastoreItem>
</file>

<file path=customXml/itemProps5.xml><?xml version="1.0" encoding="utf-8"?>
<ds:datastoreItem xmlns:ds="http://schemas.openxmlformats.org/officeDocument/2006/customXml" ds:itemID="{6A766C9C-FD1C-4A13-A2DA-D4439547012C}">
  <ds:schemaRefs/>
</ds:datastoreItem>
</file>

<file path=customXml/itemProps6.xml><?xml version="1.0" encoding="utf-8"?>
<ds:datastoreItem xmlns:ds="http://schemas.openxmlformats.org/officeDocument/2006/customXml" ds:itemID="{BB5FCFEF-A03E-4459-A64D-4DFA9E8898B5}">
  <ds:schemaRefs/>
</ds:datastoreItem>
</file>

<file path=customXml/itemProps7.xml><?xml version="1.0" encoding="utf-8"?>
<ds:datastoreItem xmlns:ds="http://schemas.openxmlformats.org/officeDocument/2006/customXml" ds:itemID="{A38F5BCA-C808-43D6-997F-94675AAA315D}">
  <ds:schemaRefs/>
</ds:datastoreItem>
</file>

<file path=customXml/itemProps8.xml><?xml version="1.0" encoding="utf-8"?>
<ds:datastoreItem xmlns:ds="http://schemas.openxmlformats.org/officeDocument/2006/customXml" ds:itemID="{052ECFA8-28B4-4240-B32E-29D34EDB037F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CB584BDE-000B-469E-BD4C-E3B45547B763}">
  <ds:schemaRefs/>
</ds:datastoreItem>
</file>

<file path=customXml/itemProps10.xml><?xml version="1.0" encoding="utf-8"?>
<ds:datastoreItem xmlns:ds="http://schemas.openxmlformats.org/officeDocument/2006/customXml" ds:itemID="{BCDA2A7D-3882-443E-81E9-B5A1362F12BD}">
  <ds:schemaRefs/>
</ds:datastoreItem>
</file>

<file path=customXml/itemProps11.xml><?xml version="1.0" encoding="utf-8"?>
<ds:datastoreItem xmlns:ds="http://schemas.openxmlformats.org/officeDocument/2006/customXml" ds:itemID="{9881ED4C-38FD-4A1A-AAB8-BA2B335403DF}">
  <ds:schemaRefs/>
</ds:datastoreItem>
</file>

<file path=customXml/itemProps12.xml><?xml version="1.0" encoding="utf-8"?>
<ds:datastoreItem xmlns:ds="http://schemas.openxmlformats.org/officeDocument/2006/customXml" ds:itemID="{2A570969-CF59-435F-8F9E-6C2E01B0909C}">
  <ds:schemaRefs/>
</ds:datastoreItem>
</file>

<file path=customXml/itemProps13.xml><?xml version="1.0" encoding="utf-8"?>
<ds:datastoreItem xmlns:ds="http://schemas.openxmlformats.org/officeDocument/2006/customXml" ds:itemID="{2035C2ED-536B-4414-8175-7C29B3099561}">
  <ds:schemaRefs/>
</ds:datastoreItem>
</file>

<file path=customXml/itemProps14.xml><?xml version="1.0" encoding="utf-8"?>
<ds:datastoreItem xmlns:ds="http://schemas.openxmlformats.org/officeDocument/2006/customXml" ds:itemID="{C3F32E98-0919-4900-90EA-E9E8B197965B}">
  <ds:schemaRefs/>
</ds:datastoreItem>
</file>

<file path=customXml/itemProps15.xml><?xml version="1.0" encoding="utf-8"?>
<ds:datastoreItem xmlns:ds="http://schemas.openxmlformats.org/officeDocument/2006/customXml" ds:itemID="{57BFC001-5184-423E-8827-2162CEC34775}">
  <ds:schemaRefs/>
</ds:datastoreItem>
</file>

<file path=customXml/itemProps16.xml><?xml version="1.0" encoding="utf-8"?>
<ds:datastoreItem xmlns:ds="http://schemas.openxmlformats.org/officeDocument/2006/customXml" ds:itemID="{2A95E571-E560-4DDD-9378-7F2026A7E83D}">
  <ds:schemaRefs/>
</ds:datastoreItem>
</file>

<file path=customXml/itemProps17.xml><?xml version="1.0" encoding="utf-8"?>
<ds:datastoreItem xmlns:ds="http://schemas.openxmlformats.org/officeDocument/2006/customXml" ds:itemID="{17C28EDE-C3D5-4E70-8327-D08AD9304820}">
  <ds:schemaRefs>
    <ds:schemaRef ds:uri="http://www.w3.org/2001/XMLSchema"/>
    <ds:schemaRef ds:uri="http://microsoft.data.visualization.Client.Excel/1.0"/>
  </ds:schemaRefs>
</ds:datastoreItem>
</file>

<file path=customXml/itemProps18.xml><?xml version="1.0" encoding="utf-8"?>
<ds:datastoreItem xmlns:ds="http://schemas.openxmlformats.org/officeDocument/2006/customXml" ds:itemID="{13F076BA-B494-441C-86BA-EC64662D5394}">
  <ds:schemaRefs/>
</ds:datastoreItem>
</file>

<file path=customXml/itemProps19.xml><?xml version="1.0" encoding="utf-8"?>
<ds:datastoreItem xmlns:ds="http://schemas.openxmlformats.org/officeDocument/2006/customXml" ds:itemID="{4A4855CC-584A-46C5-BD81-7A2AA1039CB7}">
  <ds:schemaRefs>
    <ds:schemaRef ds:uri="http://www.w3.org/2001/XMLSchema"/>
    <ds:schemaRef ds:uri="http://microsoft.data.visualization.engine.tours/1.0"/>
  </ds:schemaRefs>
</ds:datastoreItem>
</file>

<file path=customXml/itemProps20.xml><?xml version="1.0" encoding="utf-8"?>
<ds:datastoreItem xmlns:ds="http://schemas.openxmlformats.org/officeDocument/2006/customXml" ds:itemID="{99B5E455-34C9-466A-934E-ED8A86DFD7C5}">
  <ds:schemaRefs/>
</ds:datastoreItem>
</file>

<file path=customXml/itemProps21.xml><?xml version="1.0" encoding="utf-8"?>
<ds:datastoreItem xmlns:ds="http://schemas.openxmlformats.org/officeDocument/2006/customXml" ds:itemID="{4B66FD7D-480B-44A8-8F95-DB01B9EBBAD5}">
  <ds:schemaRefs/>
</ds:datastoreItem>
</file>

<file path=customXml/itemProps22.xml><?xml version="1.0" encoding="utf-8"?>
<ds:datastoreItem xmlns:ds="http://schemas.openxmlformats.org/officeDocument/2006/customXml" ds:itemID="{6F5BCA2D-178A-4417-8AF5-3976474D9AFB}">
  <ds:schemaRefs/>
</ds:datastoreItem>
</file>

<file path=customXml/itemProps23.xml><?xml version="1.0" encoding="utf-8"?>
<ds:datastoreItem xmlns:ds="http://schemas.openxmlformats.org/officeDocument/2006/customXml" ds:itemID="{1730A795-D31A-4D74-A434-868FB5EFE5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5</vt:i4>
      </vt:variant>
    </vt:vector>
  </HeadingPairs>
  <TitlesOfParts>
    <vt:vector size="13" baseType="lpstr">
      <vt:lpstr>Menu</vt:lpstr>
      <vt:lpstr>Dashboard </vt:lpstr>
      <vt:lpstr>Produtos</vt:lpstr>
      <vt:lpstr>Vendedores</vt:lpstr>
      <vt:lpstr>Vendas</vt:lpstr>
      <vt:lpstr>Cadastros Auxiliares</vt:lpstr>
      <vt:lpstr>Vendas Histórico</vt:lpstr>
      <vt:lpstr>TBDN_Vendas Histórico</vt:lpstr>
      <vt:lpstr>Desc_Categoria</vt:lpstr>
      <vt:lpstr>Desc_Qtde</vt:lpstr>
      <vt:lpstr>Desc_Tabela</vt:lpstr>
      <vt:lpstr>Desc_TabelaTotal</vt:lpstr>
      <vt:lpstr>Vendas_Historico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Ana Caroline Maia</cp:lastModifiedBy>
  <cp:lastPrinted>2023-06-07T14:57:58Z</cp:lastPrinted>
  <dcterms:created xsi:type="dcterms:W3CDTF">2023-06-02T17:54:12Z</dcterms:created>
  <dcterms:modified xsi:type="dcterms:W3CDTF">2026-03-10T02:18:35Z</dcterms:modified>
</cp:coreProperties>
</file>